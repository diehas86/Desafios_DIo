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n10\Documents\estudo diego\excel\"/>
    </mc:Choice>
  </mc:AlternateContent>
  <bookViews>
    <workbookView xWindow="0" yWindow="0" windowWidth="28800" windowHeight="12315"/>
  </bookViews>
  <sheets>
    <sheet name="Plan_investimentos" sheetId="1" r:id="rId1"/>
    <sheet name="guia de uso" sheetId="3" r:id="rId2"/>
  </sheets>
  <definedNames>
    <definedName name="_xlnm._FilterDatabase" localSheetId="0" hidden="1">Plan_investimentos!#REF!</definedName>
    <definedName name="Agressivo">Plan_investimentos!$B$57:$C$63</definedName>
    <definedName name="conservador">Plan_investimentos!$B$41:$C$47</definedName>
    <definedName name="Consevador">Plan_investimentos!$B$41:$C$47</definedName>
    <definedName name="moderado">Plan_investimentos!$B$49:$C$55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4" i="1"/>
  <c r="D18" i="1"/>
  <c r="I72" i="3"/>
  <c r="I71" i="3"/>
  <c r="I70" i="3"/>
  <c r="I69" i="3"/>
  <c r="I68" i="3"/>
  <c r="I67" i="3"/>
  <c r="I64" i="3"/>
  <c r="I63" i="3"/>
  <c r="I62" i="3"/>
  <c r="I61" i="3"/>
  <c r="I60" i="3"/>
  <c r="I59" i="3"/>
  <c r="I56" i="3"/>
  <c r="I55" i="3"/>
  <c r="I54" i="3"/>
  <c r="I53" i="3"/>
  <c r="I52" i="3"/>
  <c r="I51" i="3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I18" i="3"/>
  <c r="I19" i="3" s="1"/>
  <c r="I12" i="3"/>
  <c r="H36" i="3"/>
  <c r="H35" i="3"/>
  <c r="H34" i="3"/>
  <c r="H39" i="3"/>
  <c r="H38" i="3"/>
  <c r="H37" i="3"/>
  <c r="C35" i="1"/>
  <c r="C36" i="1"/>
  <c r="C37" i="1"/>
  <c r="C38" i="1"/>
  <c r="C39" i="1"/>
  <c r="C34" i="1"/>
  <c r="I37" i="3" l="1"/>
  <c r="I38" i="3"/>
  <c r="I39" i="3"/>
  <c r="I34" i="3"/>
  <c r="I35" i="3"/>
  <c r="I36" i="3"/>
  <c r="D39" i="1"/>
  <c r="D38" i="1"/>
  <c r="D37" i="1"/>
  <c r="D36" i="1"/>
  <c r="D35" i="1"/>
  <c r="D34" i="1"/>
  <c r="D63" i="1"/>
  <c r="D62" i="1"/>
  <c r="D61" i="1"/>
  <c r="D60" i="1"/>
  <c r="D59" i="1"/>
  <c r="D58" i="1"/>
  <c r="D43" i="1"/>
  <c r="D44" i="1"/>
  <c r="D45" i="1"/>
  <c r="D46" i="1"/>
  <c r="D47" i="1"/>
  <c r="D50" i="1"/>
  <c r="D51" i="1"/>
  <c r="D52" i="1"/>
  <c r="D53" i="1"/>
  <c r="D54" i="1"/>
  <c r="D55" i="1"/>
  <c r="D42" i="1"/>
  <c r="C28" i="1" l="1"/>
  <c r="D28" i="1" s="1"/>
  <c r="C27" i="1"/>
  <c r="D27" i="1" s="1"/>
  <c r="C26" i="1"/>
  <c r="C25" i="1"/>
  <c r="D24" i="1"/>
  <c r="D23" i="1"/>
  <c r="C22" i="1"/>
  <c r="D22" i="1" s="1"/>
  <c r="D25" i="1"/>
  <c r="D26" i="1"/>
  <c r="D19" i="1" l="1"/>
  <c r="D12" i="1"/>
</calcChain>
</file>

<file path=xl/sharedStrings.xml><?xml version="1.0" encoding="utf-8"?>
<sst xmlns="http://schemas.openxmlformats.org/spreadsheetml/2006/main" count="120" uniqueCount="34">
  <si>
    <t>Taxa de rendimento</t>
  </si>
  <si>
    <t>Tabela de investimento em FII's</t>
  </si>
  <si>
    <t>Patrimônio acumulado</t>
  </si>
  <si>
    <t>Dividendos mensais</t>
  </si>
  <si>
    <t>Investimento Mensal</t>
  </si>
  <si>
    <t>Por quantos anos</t>
  </si>
  <si>
    <t>Quanto vai render durante os anos</t>
  </si>
  <si>
    <t>Em 1 ano</t>
  </si>
  <si>
    <t>Em 2 anos</t>
  </si>
  <si>
    <t>Em 5 anos</t>
  </si>
  <si>
    <t>Em 10 anos</t>
  </si>
  <si>
    <t>Em 15 anos</t>
  </si>
  <si>
    <t>Em 20 anos</t>
  </si>
  <si>
    <t>Em 30 anos</t>
  </si>
  <si>
    <t>Sugestões de apport</t>
  </si>
  <si>
    <t>Taxa de juros</t>
  </si>
  <si>
    <t>Sugestão de investimento</t>
  </si>
  <si>
    <t>Tijolo</t>
  </si>
  <si>
    <t>Papel</t>
  </si>
  <si>
    <t>Hibrido</t>
  </si>
  <si>
    <t>Hotelaria</t>
  </si>
  <si>
    <t>FOF's</t>
  </si>
  <si>
    <t>Desenvolvimento</t>
  </si>
  <si>
    <t>Consevador</t>
  </si>
  <si>
    <t>Sugestão de investimentos</t>
  </si>
  <si>
    <t>Valor mensal</t>
  </si>
  <si>
    <t xml:space="preserve">Moderado </t>
  </si>
  <si>
    <t>Agressivo</t>
  </si>
  <si>
    <t>Salário</t>
  </si>
  <si>
    <t>Digite aqui</t>
  </si>
  <si>
    <t>Tipo de Fii</t>
  </si>
  <si>
    <t>Moderado</t>
  </si>
  <si>
    <t>Perfil de investimento:</t>
  </si>
  <si>
    <t>Mude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</si>
</sst>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3282C"/>
      <name val="Segoe UI"/>
      <family val="2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ck">
        <color theme="7" tint="-0.24994659260841701"/>
      </left>
      <right style="medium">
        <color theme="7" tint="0.39994506668294322"/>
      </right>
      <top style="thick">
        <color theme="7" tint="-0.24994659260841701"/>
      </top>
      <bottom style="medium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4506668294322"/>
      </right>
      <top style="thick">
        <color theme="7" tint="-0.24994659260841701"/>
      </top>
      <bottom style="medium">
        <color theme="7" tint="0.39994506668294322"/>
      </bottom>
      <diagonal/>
    </border>
    <border>
      <left style="medium">
        <color theme="7" tint="0.39994506668294322"/>
      </left>
      <right style="thick">
        <color theme="7" tint="-0.24994659260841701"/>
      </right>
      <top style="thick">
        <color theme="7" tint="-0.24994659260841701"/>
      </top>
      <bottom style="medium">
        <color theme="7" tint="0.39994506668294322"/>
      </bottom>
      <diagonal/>
    </border>
    <border>
      <left style="thick">
        <color theme="7" tint="-0.24994659260841701"/>
      </left>
      <right style="medium">
        <color theme="7" tint="0.39994506668294322"/>
      </right>
      <top style="medium">
        <color theme="7" tint="0.39994506668294322"/>
      </top>
      <bottom style="medium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medium">
        <color theme="7" tint="0.39994506668294322"/>
      </bottom>
      <diagonal/>
    </border>
    <border>
      <left style="medium">
        <color theme="7" tint="0.39994506668294322"/>
      </left>
      <right style="thick">
        <color theme="7" tint="-0.24994659260841701"/>
      </right>
      <top style="medium">
        <color theme="7" tint="0.39994506668294322"/>
      </top>
      <bottom style="medium">
        <color theme="7" tint="0.39994506668294322"/>
      </bottom>
      <diagonal/>
    </border>
    <border>
      <left style="thick">
        <color theme="7" tint="-0.24994659260841701"/>
      </left>
      <right style="medium">
        <color theme="7" tint="0.39994506668294322"/>
      </right>
      <top style="medium">
        <color theme="7" tint="0.39994506668294322"/>
      </top>
      <bottom style="thick">
        <color theme="7" tint="-0.24994659260841701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ck">
        <color theme="7" tint="-0.24994659260841701"/>
      </bottom>
      <diagonal/>
    </border>
    <border>
      <left style="medium">
        <color theme="7" tint="0.39994506668294322"/>
      </left>
      <right style="thick">
        <color theme="7" tint="-0.24994659260841701"/>
      </right>
      <top style="medium">
        <color theme="7" tint="0.39994506668294322"/>
      </top>
      <bottom style="thick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 style="medium">
        <color theme="7" tint="0.39994506668294322"/>
      </bottom>
      <diagonal/>
    </border>
    <border>
      <left/>
      <right/>
      <top style="thick">
        <color theme="7" tint="-0.24994659260841701"/>
      </top>
      <bottom style="medium">
        <color theme="7" tint="0.39994506668294322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medium">
        <color theme="7" tint="0.39994506668294322"/>
      </bottom>
      <diagonal/>
    </border>
    <border>
      <left/>
      <right style="medium">
        <color theme="7" tint="0.39994506668294322"/>
      </right>
      <top style="thick">
        <color theme="7" tint="-0.24994659260841701"/>
      </top>
      <bottom style="medium">
        <color theme="7" tint="0.39994506668294322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8" fontId="0" fillId="0" borderId="0" xfId="0" applyNumberFormat="1"/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0" fillId="3" borderId="4" xfId="0" applyFont="1" applyFill="1" applyBorder="1" applyProtection="1">
      <protection locked="0"/>
    </xf>
    <xf numFmtId="9" fontId="0" fillId="3" borderId="5" xfId="2" applyNumberFormat="1" applyFont="1" applyFill="1" applyBorder="1" applyProtection="1">
      <protection locked="0"/>
    </xf>
    <xf numFmtId="44" fontId="0" fillId="3" borderId="6" xfId="1" applyFont="1" applyFill="1" applyBorder="1" applyProtection="1">
      <protection locked="0"/>
    </xf>
    <xf numFmtId="0" fontId="0" fillId="3" borderId="7" xfId="0" applyFont="1" applyFill="1" applyBorder="1" applyProtection="1">
      <protection locked="0"/>
    </xf>
    <xf numFmtId="9" fontId="0" fillId="3" borderId="8" xfId="2" applyNumberFormat="1" applyFont="1" applyFill="1" applyBorder="1" applyProtection="1">
      <protection locked="0"/>
    </xf>
    <xf numFmtId="44" fontId="0" fillId="3" borderId="9" xfId="1" applyFont="1" applyFill="1" applyBorder="1" applyProtection="1">
      <protection locked="0"/>
    </xf>
    <xf numFmtId="164" fontId="0" fillId="3" borderId="5" xfId="0" applyNumberFormat="1" applyFill="1" applyBorder="1" applyAlignment="1" applyProtection="1">
      <alignment horizontal="center"/>
      <protection locked="0"/>
    </xf>
    <xf numFmtId="164" fontId="0" fillId="3" borderId="6" xfId="0" applyNumberFormat="1" applyFill="1" applyBorder="1" applyAlignment="1" applyProtection="1">
      <alignment horizontal="center"/>
      <protection locked="0"/>
    </xf>
    <xf numFmtId="164" fontId="0" fillId="3" borderId="8" xfId="0" applyNumberFormat="1" applyFill="1" applyBorder="1" applyAlignment="1" applyProtection="1">
      <alignment horizontal="center"/>
      <protection locked="0"/>
    </xf>
    <xf numFmtId="164" fontId="0" fillId="3" borderId="9" xfId="0" applyNumberFormat="1" applyFill="1" applyBorder="1" applyAlignment="1" applyProtection="1">
      <alignment horizontal="center"/>
      <protection locked="0"/>
    </xf>
    <xf numFmtId="0" fontId="0" fillId="3" borderId="4" xfId="0" applyFont="1" applyFill="1" applyBorder="1" applyProtection="1">
      <protection locked="0"/>
    </xf>
    <xf numFmtId="0" fontId="0" fillId="3" borderId="7" xfId="0" applyFont="1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7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2" fillId="3" borderId="4" xfId="0" applyFont="1" applyFill="1" applyBorder="1" applyProtection="1">
      <protection locked="0"/>
    </xf>
    <xf numFmtId="0" fontId="2" fillId="3" borderId="5" xfId="0" applyFont="1" applyFill="1" applyBorder="1" applyProtection="1">
      <protection locked="0"/>
    </xf>
    <xf numFmtId="0" fontId="0" fillId="3" borderId="4" xfId="0" applyFont="1" applyFill="1" applyBorder="1" applyProtection="1">
      <protection locked="0"/>
    </xf>
    <xf numFmtId="0" fontId="0" fillId="3" borderId="5" xfId="0" applyFont="1" applyFill="1" applyBorder="1" applyProtection="1">
      <protection locked="0"/>
    </xf>
    <xf numFmtId="0" fontId="0" fillId="3" borderId="7" xfId="0" applyFont="1" applyFill="1" applyBorder="1" applyProtection="1">
      <protection locked="0"/>
    </xf>
    <xf numFmtId="0" fontId="0" fillId="3" borderId="8" xfId="0" applyFont="1" applyFill="1" applyBorder="1" applyProtection="1"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164" fontId="0" fillId="4" borderId="6" xfId="1" applyNumberFormat="1" applyFont="1" applyFill="1" applyBorder="1" applyAlignment="1" applyProtection="1">
      <alignment horizontal="center"/>
      <protection locked="0"/>
    </xf>
    <xf numFmtId="165" fontId="0" fillId="4" borderId="6" xfId="2" applyNumberFormat="1" applyFont="1" applyFill="1" applyBorder="1" applyAlignment="1" applyProtection="1">
      <alignment horizontal="center"/>
      <protection locked="0"/>
    </xf>
    <xf numFmtId="164" fontId="0" fillId="4" borderId="9" xfId="0" applyNumberForma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left" indent="17"/>
      <protection locked="0"/>
    </xf>
    <xf numFmtId="0" fontId="3" fillId="2" borderId="2" xfId="0" applyFont="1" applyFill="1" applyBorder="1" applyAlignment="1" applyProtection="1">
      <alignment horizontal="left" indent="17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164" fontId="0" fillId="4" borderId="6" xfId="0" applyNumberFormat="1" applyFont="1" applyFill="1" applyBorder="1" applyAlignment="1" applyProtection="1">
      <alignment horizontal="center"/>
      <protection locked="0"/>
    </xf>
    <xf numFmtId="0" fontId="0" fillId="4" borderId="6" xfId="0" applyFont="1" applyFill="1" applyBorder="1" applyAlignment="1" applyProtection="1">
      <alignment horizontal="center"/>
      <protection locked="0"/>
    </xf>
    <xf numFmtId="10" fontId="1" fillId="4" borderId="6" xfId="2" applyNumberFormat="1" applyFont="1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0" fontId="0" fillId="2" borderId="3" xfId="0" applyFill="1" applyBorder="1" applyProtection="1">
      <protection locked="0"/>
    </xf>
    <xf numFmtId="0" fontId="0" fillId="5" borderId="14" xfId="0" applyFill="1" applyBorder="1" applyProtection="1">
      <protection locked="0"/>
    </xf>
    <xf numFmtId="0" fontId="0" fillId="5" borderId="15" xfId="0" applyFill="1" applyBorder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protection locked="0"/>
    </xf>
    <xf numFmtId="0" fontId="3" fillId="2" borderId="2" xfId="0" applyFont="1" applyFill="1" applyBorder="1" applyAlignment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</xf>
    <xf numFmtId="0" fontId="3" fillId="2" borderId="13" xfId="0" applyFont="1" applyFill="1" applyBorder="1" applyAlignment="1" applyProtection="1">
      <alignment horizontal="center"/>
    </xf>
    <xf numFmtId="0" fontId="0" fillId="2" borderId="3" xfId="0" applyFill="1" applyBorder="1" applyProtection="1"/>
    <xf numFmtId="0" fontId="0" fillId="3" borderId="4" xfId="0" applyFont="1" applyFill="1" applyBorder="1" applyProtection="1"/>
    <xf numFmtId="164" fontId="0" fillId="3" borderId="5" xfId="0" applyNumberFormat="1" applyFill="1" applyBorder="1" applyAlignment="1" applyProtection="1">
      <alignment horizontal="center"/>
    </xf>
    <xf numFmtId="164" fontId="0" fillId="3" borderId="6" xfId="0" applyNumberFormat="1" applyFill="1" applyBorder="1" applyAlignment="1" applyProtection="1">
      <alignment horizontal="center"/>
    </xf>
    <xf numFmtId="0" fontId="0" fillId="3" borderId="7" xfId="0" applyFont="1" applyFill="1" applyBorder="1" applyProtection="1"/>
    <xf numFmtId="164" fontId="0" fillId="3" borderId="8" xfId="0" applyNumberFormat="1" applyFill="1" applyBorder="1" applyAlignment="1" applyProtection="1">
      <alignment horizontal="center"/>
    </xf>
    <xf numFmtId="164" fontId="0" fillId="3" borderId="9" xfId="0" applyNumberFormat="1" applyFill="1" applyBorder="1" applyAlignment="1" applyProtection="1">
      <alignment horizontal="center"/>
    </xf>
    <xf numFmtId="0" fontId="0" fillId="0" borderId="0" xfId="0" applyProtection="1"/>
    <xf numFmtId="0" fontId="0" fillId="5" borderId="14" xfId="0" applyFill="1" applyBorder="1" applyProtection="1"/>
    <xf numFmtId="0" fontId="0" fillId="5" borderId="15" xfId="0" applyFill="1" applyBorder="1" applyAlignment="1" applyProtection="1">
      <alignment horizontal="center"/>
    </xf>
    <xf numFmtId="0" fontId="0" fillId="5" borderId="16" xfId="0" applyFill="1" applyBorder="1" applyAlignment="1" applyProtection="1">
      <alignment horizontal="center"/>
    </xf>
    <xf numFmtId="0" fontId="3" fillId="2" borderId="1" xfId="0" applyFont="1" applyFill="1" applyBorder="1" applyAlignment="1" applyProtection="1"/>
    <xf numFmtId="0" fontId="3" fillId="2" borderId="2" xfId="0" applyFont="1" applyFill="1" applyBorder="1" applyAlignment="1" applyProtection="1"/>
    <xf numFmtId="0" fontId="3" fillId="2" borderId="3" xfId="0" applyFont="1" applyFill="1" applyBorder="1" applyAlignment="1" applyProtection="1">
      <alignment horizontal="center"/>
    </xf>
    <xf numFmtId="9" fontId="0" fillId="3" borderId="5" xfId="2" applyNumberFormat="1" applyFont="1" applyFill="1" applyBorder="1" applyProtection="1"/>
    <xf numFmtId="44" fontId="0" fillId="3" borderId="6" xfId="1" applyFont="1" applyFill="1" applyBorder="1" applyProtection="1"/>
    <xf numFmtId="9" fontId="0" fillId="3" borderId="8" xfId="2" applyNumberFormat="1" applyFont="1" applyFill="1" applyBorder="1" applyProtection="1"/>
    <xf numFmtId="44" fontId="0" fillId="3" borderId="9" xfId="1" applyFont="1" applyFill="1" applyBorder="1" applyProtection="1"/>
    <xf numFmtId="0" fontId="0" fillId="3" borderId="4" xfId="0" applyFill="1" applyBorder="1" applyProtection="1"/>
    <xf numFmtId="0" fontId="0" fillId="3" borderId="5" xfId="0" applyFill="1" applyBorder="1" applyProtection="1"/>
    <xf numFmtId="0" fontId="0" fillId="3" borderId="7" xfId="0" applyFill="1" applyBorder="1" applyProtection="1"/>
    <xf numFmtId="0" fontId="0" fillId="3" borderId="8" xfId="0" applyFill="1" applyBorder="1" applyProtection="1"/>
    <xf numFmtId="0" fontId="3" fillId="2" borderId="1" xfId="0" applyFont="1" applyFill="1" applyBorder="1" applyAlignment="1" applyProtection="1">
      <alignment horizontal="left" indent="17"/>
    </xf>
    <xf numFmtId="0" fontId="3" fillId="2" borderId="2" xfId="0" applyFont="1" applyFill="1" applyBorder="1" applyAlignment="1" applyProtection="1">
      <alignment horizontal="left" indent="17"/>
    </xf>
    <xf numFmtId="0" fontId="2" fillId="3" borderId="4" xfId="0" applyFont="1" applyFill="1" applyBorder="1" applyProtection="1"/>
    <xf numFmtId="0" fontId="2" fillId="3" borderId="5" xfId="0" applyFont="1" applyFill="1" applyBorder="1" applyProtection="1"/>
    <xf numFmtId="0" fontId="0" fillId="3" borderId="4" xfId="0" applyFont="1" applyFill="1" applyBorder="1" applyProtection="1"/>
    <xf numFmtId="0" fontId="0" fillId="3" borderId="5" xfId="0" applyFont="1" applyFill="1" applyBorder="1" applyProtection="1"/>
    <xf numFmtId="0" fontId="0" fillId="3" borderId="7" xfId="0" applyFont="1" applyFill="1" applyBorder="1" applyProtection="1"/>
    <xf numFmtId="0" fontId="0" fillId="3" borderId="8" xfId="0" applyFont="1" applyFill="1" applyBorder="1" applyProtection="1"/>
    <xf numFmtId="0" fontId="4" fillId="2" borderId="12" xfId="0" applyFont="1" applyFill="1" applyBorder="1" applyAlignment="1" applyProtection="1">
      <alignment horizontal="center"/>
    </xf>
    <xf numFmtId="0" fontId="3" fillId="2" borderId="11" xfId="0" applyFont="1" applyFill="1" applyBorder="1" applyAlignment="1" applyProtection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 macro="" textlink="">
      <xdr:nvSpPr>
        <xdr:cNvPr id="1025" name="AutoShape 1" descr="Imagem gerada"/>
        <xdr:cNvSpPr>
          <a:spLocks noChangeAspect="1" noChangeArrowheads="1"/>
        </xdr:cNvSpPr>
      </xdr:nvSpPr>
      <xdr:spPr bwMode="auto">
        <a:xfrm>
          <a:off x="12192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</xdr:col>
      <xdr:colOff>4760</xdr:colOff>
      <xdr:row>0</xdr:row>
      <xdr:rowOff>183357</xdr:rowOff>
    </xdr:from>
    <xdr:to>
      <xdr:col>4</xdr:col>
      <xdr:colOff>0</xdr:colOff>
      <xdr:row>7</xdr:row>
      <xdr:rowOff>21432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100" b="33801"/>
        <a:stretch/>
      </xdr:blipFill>
      <xdr:spPr>
        <a:xfrm>
          <a:off x="617673" y="183357"/>
          <a:ext cx="4376740" cy="1171575"/>
        </a:xfrm>
        <a:prstGeom prst="rect">
          <a:avLst/>
        </a:prstGeom>
        <a:effectLst>
          <a:softEdge rad="12700"/>
        </a:effectLst>
      </xdr:spPr>
    </xdr:pic>
    <xdr:clientData/>
  </xdr:twoCellAnchor>
  <xdr:twoCellAnchor>
    <xdr:from>
      <xdr:col>3</xdr:col>
      <xdr:colOff>991913</xdr:colOff>
      <xdr:row>8</xdr:row>
      <xdr:rowOff>72259</xdr:rowOff>
    </xdr:from>
    <xdr:to>
      <xdr:col>3</xdr:col>
      <xdr:colOff>1077310</xdr:colOff>
      <xdr:row>8</xdr:row>
      <xdr:rowOff>190498</xdr:rowOff>
    </xdr:to>
    <xdr:sp macro="" textlink="">
      <xdr:nvSpPr>
        <xdr:cNvPr id="4" name="Seta para baixo 3"/>
        <xdr:cNvSpPr/>
      </xdr:nvSpPr>
      <xdr:spPr>
        <a:xfrm>
          <a:off x="5005551" y="1602828"/>
          <a:ext cx="85397" cy="118239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1012933</xdr:colOff>
      <xdr:row>13</xdr:row>
      <xdr:rowOff>67003</xdr:rowOff>
    </xdr:from>
    <xdr:to>
      <xdr:col>3</xdr:col>
      <xdr:colOff>1098330</xdr:colOff>
      <xdr:row>13</xdr:row>
      <xdr:rowOff>185242</xdr:rowOff>
    </xdr:to>
    <xdr:sp macro="" textlink="">
      <xdr:nvSpPr>
        <xdr:cNvPr id="6" name="Seta para baixo 5"/>
        <xdr:cNvSpPr/>
      </xdr:nvSpPr>
      <xdr:spPr>
        <a:xfrm>
          <a:off x="5026571" y="2609193"/>
          <a:ext cx="85397" cy="118239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1412083</xdr:colOff>
      <xdr:row>31</xdr:row>
      <xdr:rowOff>53578</xdr:rowOff>
    </xdr:from>
    <xdr:to>
      <xdr:col>2</xdr:col>
      <xdr:colOff>1690690</xdr:colOff>
      <xdr:row>31</xdr:row>
      <xdr:rowOff>160734</xdr:rowOff>
    </xdr:to>
    <xdr:sp macro="" textlink="">
      <xdr:nvSpPr>
        <xdr:cNvPr id="3" name="Seta entalhada para a direita 2"/>
        <xdr:cNvSpPr/>
      </xdr:nvSpPr>
      <xdr:spPr>
        <a:xfrm>
          <a:off x="3430192" y="6268641"/>
          <a:ext cx="278607" cy="107156"/>
        </a:xfrm>
        <a:prstGeom prst="notched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9</xdr:row>
      <xdr:rowOff>57150</xdr:rowOff>
    </xdr:from>
    <xdr:to>
      <xdr:col>10</xdr:col>
      <xdr:colOff>590550</xdr:colOff>
      <xdr:row>11</xdr:row>
      <xdr:rowOff>47625</xdr:rowOff>
    </xdr:to>
    <xdr:sp macro="" textlink="">
      <xdr:nvSpPr>
        <xdr:cNvPr id="7" name="Seta para a esquerda 6"/>
        <xdr:cNvSpPr/>
      </xdr:nvSpPr>
      <xdr:spPr>
        <a:xfrm>
          <a:off x="8391525" y="1419225"/>
          <a:ext cx="895350" cy="390525"/>
        </a:xfrm>
        <a:prstGeom prst="lef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114300</xdr:rowOff>
    </xdr:to>
    <xdr:sp macro="" textlink="">
      <xdr:nvSpPr>
        <xdr:cNvPr id="2" name="AutoShape 1" descr="Imagem gerada"/>
        <xdr:cNvSpPr>
          <a:spLocks noChangeAspect="1" noChangeArrowheads="1"/>
        </xdr:cNvSpPr>
      </xdr:nvSpPr>
      <xdr:spPr bwMode="auto">
        <a:xfrm>
          <a:off x="20193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991913</xdr:colOff>
      <xdr:row>8</xdr:row>
      <xdr:rowOff>72259</xdr:rowOff>
    </xdr:from>
    <xdr:to>
      <xdr:col>8</xdr:col>
      <xdr:colOff>1077310</xdr:colOff>
      <xdr:row>8</xdr:row>
      <xdr:rowOff>190498</xdr:rowOff>
    </xdr:to>
    <xdr:sp macro="" textlink="">
      <xdr:nvSpPr>
        <xdr:cNvPr id="3" name="Seta para baixo 2"/>
        <xdr:cNvSpPr/>
      </xdr:nvSpPr>
      <xdr:spPr>
        <a:xfrm>
          <a:off x="4716188" y="1605784"/>
          <a:ext cx="85397" cy="118239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1012933</xdr:colOff>
      <xdr:row>13</xdr:row>
      <xdr:rowOff>67003</xdr:rowOff>
    </xdr:from>
    <xdr:to>
      <xdr:col>8</xdr:col>
      <xdr:colOff>1098330</xdr:colOff>
      <xdr:row>13</xdr:row>
      <xdr:rowOff>185242</xdr:rowOff>
    </xdr:to>
    <xdr:sp macro="" textlink="">
      <xdr:nvSpPr>
        <xdr:cNvPr id="4" name="Seta para baixo 3"/>
        <xdr:cNvSpPr/>
      </xdr:nvSpPr>
      <xdr:spPr>
        <a:xfrm>
          <a:off x="4737208" y="2619703"/>
          <a:ext cx="85397" cy="118239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1412083</xdr:colOff>
      <xdr:row>31</xdr:row>
      <xdr:rowOff>53578</xdr:rowOff>
    </xdr:from>
    <xdr:to>
      <xdr:col>7</xdr:col>
      <xdr:colOff>1690690</xdr:colOff>
      <xdr:row>31</xdr:row>
      <xdr:rowOff>160734</xdr:rowOff>
    </xdr:to>
    <xdr:sp macro="" textlink="">
      <xdr:nvSpPr>
        <xdr:cNvPr id="5" name="Seta entalhada para a direita 4"/>
        <xdr:cNvSpPr/>
      </xdr:nvSpPr>
      <xdr:spPr>
        <a:xfrm>
          <a:off x="3431383" y="6244828"/>
          <a:ext cx="278607" cy="107156"/>
        </a:xfrm>
        <a:prstGeom prst="notched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390525</xdr:colOff>
      <xdr:row>14</xdr:row>
      <xdr:rowOff>200025</xdr:rowOff>
    </xdr:from>
    <xdr:to>
      <xdr:col>11</xdr:col>
      <xdr:colOff>66675</xdr:colOff>
      <xdr:row>16</xdr:row>
      <xdr:rowOff>171450</xdr:rowOff>
    </xdr:to>
    <xdr:sp macro="" textlink="">
      <xdr:nvSpPr>
        <xdr:cNvPr id="9" name="Seta para a esquerda 8"/>
        <xdr:cNvSpPr/>
      </xdr:nvSpPr>
      <xdr:spPr>
        <a:xfrm rot="933689">
          <a:off x="8477250" y="2581275"/>
          <a:ext cx="895350" cy="390525"/>
        </a:xfrm>
        <a:prstGeom prst="lef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542925</xdr:colOff>
      <xdr:row>13</xdr:row>
      <xdr:rowOff>161925</xdr:rowOff>
    </xdr:from>
    <xdr:to>
      <xdr:col>16</xdr:col>
      <xdr:colOff>219075</xdr:colOff>
      <xdr:row>19</xdr:row>
      <xdr:rowOff>0</xdr:rowOff>
    </xdr:to>
    <xdr:sp macro="" textlink="">
      <xdr:nvSpPr>
        <xdr:cNvPr id="8" name="Elipse 7"/>
        <xdr:cNvSpPr/>
      </xdr:nvSpPr>
      <xdr:spPr>
        <a:xfrm>
          <a:off x="9239250" y="2333625"/>
          <a:ext cx="3333750" cy="10668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Aqui você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pode colocar seu investimento mensal, periodo e taxa de rendimento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514350</xdr:colOff>
      <xdr:row>7</xdr:row>
      <xdr:rowOff>0</xdr:rowOff>
    </xdr:from>
    <xdr:to>
      <xdr:col>16</xdr:col>
      <xdr:colOff>190500</xdr:colOff>
      <xdr:row>13</xdr:row>
      <xdr:rowOff>76200</xdr:rowOff>
    </xdr:to>
    <xdr:sp macro="" textlink="">
      <xdr:nvSpPr>
        <xdr:cNvPr id="6" name="Elipse 5"/>
        <xdr:cNvSpPr/>
      </xdr:nvSpPr>
      <xdr:spPr>
        <a:xfrm>
          <a:off x="9210675" y="952500"/>
          <a:ext cx="3333750" cy="12954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Tudo que estiver em verde pode ser editado, por exemplo aqui você pode colocar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seu salário, a taxa de juros e seu investimento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581025</xdr:colOff>
      <xdr:row>22</xdr:row>
      <xdr:rowOff>142875</xdr:rowOff>
    </xdr:from>
    <xdr:to>
      <xdr:col>11</xdr:col>
      <xdr:colOff>257175</xdr:colOff>
      <xdr:row>24</xdr:row>
      <xdr:rowOff>133350</xdr:rowOff>
    </xdr:to>
    <xdr:sp macro="" textlink="">
      <xdr:nvSpPr>
        <xdr:cNvPr id="10" name="Seta para a esquerda 9"/>
        <xdr:cNvSpPr/>
      </xdr:nvSpPr>
      <xdr:spPr>
        <a:xfrm>
          <a:off x="8667750" y="4162425"/>
          <a:ext cx="895350" cy="390525"/>
        </a:xfrm>
        <a:prstGeom prst="lef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66675</xdr:colOff>
      <xdr:row>20</xdr:row>
      <xdr:rowOff>190500</xdr:rowOff>
    </xdr:from>
    <xdr:to>
      <xdr:col>16</xdr:col>
      <xdr:colOff>352425</xdr:colOff>
      <xdr:row>26</xdr:row>
      <xdr:rowOff>47625</xdr:rowOff>
    </xdr:to>
    <xdr:sp macro="" textlink="">
      <xdr:nvSpPr>
        <xdr:cNvPr id="11" name="Elipse 10"/>
        <xdr:cNvSpPr/>
      </xdr:nvSpPr>
      <xdr:spPr>
        <a:xfrm>
          <a:off x="9372600" y="3800475"/>
          <a:ext cx="3333750" cy="10668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Aqui você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terá uma idéia de rendimento durante os anos 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257174</xdr:colOff>
      <xdr:row>31</xdr:row>
      <xdr:rowOff>123826</xdr:rowOff>
    </xdr:from>
    <xdr:to>
      <xdr:col>10</xdr:col>
      <xdr:colOff>542924</xdr:colOff>
      <xdr:row>33</xdr:row>
      <xdr:rowOff>95251</xdr:rowOff>
    </xdr:to>
    <xdr:sp macro="" textlink="">
      <xdr:nvSpPr>
        <xdr:cNvPr id="13" name="Seta para a esquerda 12"/>
        <xdr:cNvSpPr/>
      </xdr:nvSpPr>
      <xdr:spPr>
        <a:xfrm rot="825128">
          <a:off x="8343899" y="5934076"/>
          <a:ext cx="895350" cy="390525"/>
        </a:xfrm>
        <a:prstGeom prst="lef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457200</xdr:colOff>
      <xdr:row>29</xdr:row>
      <xdr:rowOff>142875</xdr:rowOff>
    </xdr:from>
    <xdr:to>
      <xdr:col>16</xdr:col>
      <xdr:colOff>228600</xdr:colOff>
      <xdr:row>35</xdr:row>
      <xdr:rowOff>114300</xdr:rowOff>
    </xdr:to>
    <xdr:sp macro="" textlink="">
      <xdr:nvSpPr>
        <xdr:cNvPr id="12" name="Elipse 11"/>
        <xdr:cNvSpPr/>
      </xdr:nvSpPr>
      <xdr:spPr>
        <a:xfrm>
          <a:off x="9153525" y="5562600"/>
          <a:ext cx="3429000" cy="11811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Aqui você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pode escolher seu perfil de investidor clicando na seta no canto direito inferior da caixa MODERADO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276225</xdr:colOff>
      <xdr:row>36</xdr:row>
      <xdr:rowOff>66675</xdr:rowOff>
    </xdr:from>
    <xdr:to>
      <xdr:col>10</xdr:col>
      <xdr:colOff>561975</xdr:colOff>
      <xdr:row>38</xdr:row>
      <xdr:rowOff>57150</xdr:rowOff>
    </xdr:to>
    <xdr:sp macro="" textlink="">
      <xdr:nvSpPr>
        <xdr:cNvPr id="14" name="Seta para a esquerda 13"/>
        <xdr:cNvSpPr/>
      </xdr:nvSpPr>
      <xdr:spPr>
        <a:xfrm rot="1346633">
          <a:off x="8362950" y="6896100"/>
          <a:ext cx="895350" cy="390525"/>
        </a:xfrm>
        <a:prstGeom prst="lef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466725</xdr:colOff>
      <xdr:row>36</xdr:row>
      <xdr:rowOff>9524</xdr:rowOff>
    </xdr:from>
    <xdr:to>
      <xdr:col>16</xdr:col>
      <xdr:colOff>238125</xdr:colOff>
      <xdr:row>40</xdr:row>
      <xdr:rowOff>114299</xdr:rowOff>
    </xdr:to>
    <xdr:sp macro="" textlink="">
      <xdr:nvSpPr>
        <xdr:cNvPr id="16" name="Elipse 15"/>
        <xdr:cNvSpPr/>
      </xdr:nvSpPr>
      <xdr:spPr>
        <a:xfrm>
          <a:off x="9163050" y="7219949"/>
          <a:ext cx="3429000" cy="904875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Clicando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então automaticamente a tabela fara os calculos 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6</xdr:col>
      <xdr:colOff>0</xdr:colOff>
      <xdr:row>0</xdr:row>
      <xdr:rowOff>171450</xdr:rowOff>
    </xdr:from>
    <xdr:to>
      <xdr:col>8</xdr:col>
      <xdr:colOff>1214440</xdr:colOff>
      <xdr:row>7</xdr:row>
      <xdr:rowOff>9525</xdr:rowOff>
    </xdr:to>
    <xdr:pic>
      <xdr:nvPicPr>
        <xdr:cNvPr id="17" name="Imagem 16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100" b="33801"/>
        <a:stretch/>
      </xdr:blipFill>
      <xdr:spPr>
        <a:xfrm>
          <a:off x="3657600" y="171450"/>
          <a:ext cx="4376740" cy="1171575"/>
        </a:xfrm>
        <a:prstGeom prst="rect">
          <a:avLst/>
        </a:prstGeom>
        <a:effectLst>
          <a:softEdge rad="12700"/>
        </a:effectLst>
      </xdr:spPr>
    </xdr:pic>
    <xdr:clientData/>
  </xdr:twoCellAnchor>
  <xdr:twoCellAnchor>
    <xdr:from>
      <xdr:col>7</xdr:col>
      <xdr:colOff>204786</xdr:colOff>
      <xdr:row>39</xdr:row>
      <xdr:rowOff>23814</xdr:rowOff>
    </xdr:from>
    <xdr:to>
      <xdr:col>7</xdr:col>
      <xdr:colOff>595311</xdr:colOff>
      <xdr:row>43</xdr:row>
      <xdr:rowOff>147639</xdr:rowOff>
    </xdr:to>
    <xdr:sp macro="" textlink="">
      <xdr:nvSpPr>
        <xdr:cNvPr id="19" name="Seta para a esquerda 18"/>
        <xdr:cNvSpPr/>
      </xdr:nvSpPr>
      <xdr:spPr>
        <a:xfrm rot="5400000">
          <a:off x="5067299" y="8086726"/>
          <a:ext cx="895350" cy="390525"/>
        </a:xfrm>
        <a:prstGeom prst="lef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533400</xdr:colOff>
      <xdr:row>42</xdr:row>
      <xdr:rowOff>142875</xdr:rowOff>
    </xdr:from>
    <xdr:to>
      <xdr:col>8</xdr:col>
      <xdr:colOff>800100</xdr:colOff>
      <xdr:row>49</xdr:row>
      <xdr:rowOff>0</xdr:rowOff>
    </xdr:to>
    <xdr:sp macro="" textlink="">
      <xdr:nvSpPr>
        <xdr:cNvPr id="18" name="Elipse 17"/>
        <xdr:cNvSpPr/>
      </xdr:nvSpPr>
      <xdr:spPr>
        <a:xfrm>
          <a:off x="4191000" y="8534400"/>
          <a:ext cx="3429000" cy="1190625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As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informações que estão nas células em cinza não podem ser alteradas para não corromper a tabela 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XFA63"/>
  <sheetViews>
    <sheetView showGridLines="0" tabSelected="1" zoomScale="115" zoomScaleNormal="115" workbookViewId="0">
      <selection activeCell="D10" sqref="D10"/>
    </sheetView>
  </sheetViews>
  <sheetFormatPr defaultColWidth="9.140625" defaultRowHeight="15" x14ac:dyDescent="0.25"/>
  <cols>
    <col min="1" max="1" width="9.140625" customWidth="1"/>
    <col min="2" max="2" width="21.140625" bestFit="1" customWidth="1"/>
    <col min="3" max="3" width="25.5703125" bestFit="1" customWidth="1"/>
    <col min="4" max="4" width="19" bestFit="1" customWidth="1"/>
    <col min="5" max="5" width="17.5703125" customWidth="1"/>
    <col min="6" max="6" width="21.140625" bestFit="1" customWidth="1"/>
    <col min="7" max="7" width="25.5703125" bestFit="1" customWidth="1"/>
    <col min="8" max="8" width="13.42578125" bestFit="1" customWidth="1"/>
    <col min="9" max="16380" width="0" hidden="1" customWidth="1"/>
    <col min="16381" max="16381" width="0.85546875" hidden="1" customWidth="1"/>
    <col min="16382" max="16382" width="1" customWidth="1"/>
    <col min="16383" max="16383" width="30.7109375" customWidth="1"/>
    <col min="16384" max="16384" width="11.5703125" customWidth="1"/>
  </cols>
  <sheetData>
    <row r="8" spans="2:4" ht="15.75" thickBot="1" x14ac:dyDescent="0.3"/>
    <row r="9" spans="2:4" ht="16.5" thickTop="1" thickBot="1" x14ac:dyDescent="0.3">
      <c r="B9" s="48" t="s">
        <v>14</v>
      </c>
      <c r="C9" s="81"/>
      <c r="D9" s="80" t="s">
        <v>29</v>
      </c>
    </row>
    <row r="10" spans="2:4" ht="15.75" thickBot="1" x14ac:dyDescent="0.3">
      <c r="B10" s="68" t="s">
        <v>28</v>
      </c>
      <c r="C10" s="69"/>
      <c r="D10" s="30">
        <v>5000</v>
      </c>
    </row>
    <row r="11" spans="2:4" ht="15.75" thickBot="1" x14ac:dyDescent="0.3">
      <c r="B11" s="68" t="s">
        <v>15</v>
      </c>
      <c r="C11" s="69"/>
      <c r="D11" s="31">
        <v>8.8999999999999995E-4</v>
      </c>
    </row>
    <row r="12" spans="2:4" ht="15.75" thickBot="1" x14ac:dyDescent="0.3">
      <c r="B12" s="70" t="s">
        <v>16</v>
      </c>
      <c r="C12" s="71"/>
      <c r="D12" s="32">
        <f>D10*20%</f>
        <v>1000</v>
      </c>
    </row>
    <row r="13" spans="2:4" ht="16.5" thickTop="1" thickBot="1" x14ac:dyDescent="0.3">
      <c r="B13" s="57"/>
      <c r="C13" s="57"/>
      <c r="D13" s="33"/>
    </row>
    <row r="14" spans="2:4" ht="16.5" thickTop="1" thickBot="1" x14ac:dyDescent="0.3">
      <c r="B14" s="72" t="s">
        <v>1</v>
      </c>
      <c r="C14" s="73"/>
      <c r="D14" s="36" t="s">
        <v>29</v>
      </c>
    </row>
    <row r="15" spans="2:4" ht="17.25" thickBot="1" x14ac:dyDescent="0.35">
      <c r="B15" s="74" t="s">
        <v>4</v>
      </c>
      <c r="C15" s="75"/>
      <c r="D15" s="37">
        <v>2500</v>
      </c>
    </row>
    <row r="16" spans="2:4" ht="15.75" thickBot="1" x14ac:dyDescent="0.3">
      <c r="B16" s="76" t="s">
        <v>5</v>
      </c>
      <c r="C16" s="77"/>
      <c r="D16" s="38">
        <v>5</v>
      </c>
    </row>
    <row r="17" spans="2:4" ht="15.75" thickBot="1" x14ac:dyDescent="0.3">
      <c r="B17" s="76" t="s">
        <v>0</v>
      </c>
      <c r="C17" s="77"/>
      <c r="D17" s="39">
        <v>1.0800000000000001E-2</v>
      </c>
    </row>
    <row r="18" spans="2:4" ht="15.75" thickBot="1" x14ac:dyDescent="0.3">
      <c r="B18" s="76" t="s">
        <v>2</v>
      </c>
      <c r="C18" s="77"/>
      <c r="D18" s="53">
        <f>FV(D17,D16*12,D15*-1)</f>
        <v>209510.04839814609</v>
      </c>
    </row>
    <row r="19" spans="2:4" ht="15.75" thickBot="1" x14ac:dyDescent="0.3">
      <c r="B19" s="78" t="s">
        <v>3</v>
      </c>
      <c r="C19" s="79"/>
      <c r="D19" s="56">
        <f>D18*D17</f>
        <v>2262.7085226999779</v>
      </c>
    </row>
    <row r="20" spans="2:4" ht="16.5" thickTop="1" thickBot="1" x14ac:dyDescent="0.3"/>
    <row r="21" spans="2:4" ht="16.5" thickTop="1" thickBot="1" x14ac:dyDescent="0.3">
      <c r="B21" s="48" t="s">
        <v>6</v>
      </c>
      <c r="C21" s="49"/>
      <c r="D21" s="50" t="s">
        <v>3</v>
      </c>
    </row>
    <row r="22" spans="2:4" ht="15.75" thickBot="1" x14ac:dyDescent="0.3">
      <c r="B22" s="51" t="s">
        <v>7</v>
      </c>
      <c r="C22" s="52">
        <f>FV($D$17,1*12,$D$15*-1)</f>
        <v>31847.738173859096</v>
      </c>
      <c r="D22" s="53">
        <f>C22*$D$11</f>
        <v>28.344486974734593</v>
      </c>
    </row>
    <row r="23" spans="2:4" ht="15.75" thickBot="1" x14ac:dyDescent="0.3">
      <c r="B23" s="51" t="s">
        <v>8</v>
      </c>
      <c r="C23" s="52">
        <f>FV($D$17,2*12,$D$15*-1)</f>
        <v>68077.159151453976</v>
      </c>
      <c r="D23" s="53">
        <f t="shared" ref="D23:D28" si="0">C23*$D$11</f>
        <v>60.588671644794033</v>
      </c>
    </row>
    <row r="24" spans="2:4" ht="15.75" thickBot="1" x14ac:dyDescent="0.3">
      <c r="B24" s="51" t="s">
        <v>9</v>
      </c>
      <c r="C24" s="52">
        <f>FV($D$17,5*12,$D$15*-1)</f>
        <v>209510.04839814609</v>
      </c>
      <c r="D24" s="53">
        <f t="shared" si="0"/>
        <v>186.46394307435</v>
      </c>
    </row>
    <row r="25" spans="2:4" ht="15.75" thickBot="1" x14ac:dyDescent="0.3">
      <c r="B25" s="51" t="s">
        <v>10</v>
      </c>
      <c r="C25" s="52">
        <f>FV($D$17,10*12,$D$15*-1)</f>
        <v>608644.16563700023</v>
      </c>
      <c r="D25" s="53">
        <f t="shared" si="0"/>
        <v>541.69330741693022</v>
      </c>
    </row>
    <row r="26" spans="2:4" ht="15.75" thickBot="1" x14ac:dyDescent="0.3">
      <c r="B26" s="51" t="s">
        <v>11</v>
      </c>
      <c r="C26" s="52">
        <f>FV($D$17,15*12,$D$15*-1)</f>
        <v>1369027.9503865296</v>
      </c>
      <c r="D26" s="53">
        <f t="shared" si="0"/>
        <v>1218.4348758440112</v>
      </c>
    </row>
    <row r="27" spans="2:4" ht="15.75" thickBot="1" x14ac:dyDescent="0.3">
      <c r="B27" s="51" t="s">
        <v>12</v>
      </c>
      <c r="C27" s="52">
        <f>FV($D$17,20*12,$D$15*-1)</f>
        <v>2817622.4832463083</v>
      </c>
      <c r="D27" s="53">
        <f t="shared" si="0"/>
        <v>2507.6840100892141</v>
      </c>
    </row>
    <row r="28" spans="2:4" ht="15.75" thickBot="1" x14ac:dyDescent="0.3">
      <c r="B28" s="54" t="s">
        <v>13</v>
      </c>
      <c r="C28" s="55">
        <f>FV($D$17,30*12,$D$15*-1)</f>
        <v>10834762.02579188</v>
      </c>
      <c r="D28" s="56">
        <f t="shared" si="0"/>
        <v>9642.9382029547724</v>
      </c>
    </row>
    <row r="29" spans="2:4" ht="15.75" thickTop="1" x14ac:dyDescent="0.25">
      <c r="B29" s="57"/>
      <c r="C29" s="57"/>
      <c r="D29" s="57"/>
    </row>
    <row r="30" spans="2:4" x14ac:dyDescent="0.25">
      <c r="B30" s="57"/>
      <c r="C30" s="57"/>
      <c r="D30" s="57"/>
    </row>
    <row r="31" spans="2:4" ht="15.75" thickBot="1" x14ac:dyDescent="0.3">
      <c r="B31" s="57"/>
      <c r="C31" s="57"/>
      <c r="D31" s="57"/>
    </row>
    <row r="32" spans="2:4" ht="16.5" thickTop="1" thickBot="1" x14ac:dyDescent="0.3">
      <c r="B32" s="58" t="s">
        <v>32</v>
      </c>
      <c r="C32" s="59" t="s">
        <v>33</v>
      </c>
      <c r="D32" s="60" t="s">
        <v>31</v>
      </c>
    </row>
    <row r="33" spans="2:5" ht="16.5" thickTop="1" thickBot="1" x14ac:dyDescent="0.3">
      <c r="B33" s="61" t="s">
        <v>30</v>
      </c>
      <c r="C33" s="62" t="s">
        <v>24</v>
      </c>
      <c r="D33" s="63" t="s">
        <v>25</v>
      </c>
    </row>
    <row r="34" spans="2:5" ht="15.75" thickBot="1" x14ac:dyDescent="0.3">
      <c r="B34" s="51" t="s">
        <v>17</v>
      </c>
      <c r="C34" s="64">
        <f ca="1">VLOOKUP(B34,INDIRECT($D$32),2,FALSE)</f>
        <v>0.25</v>
      </c>
      <c r="D34" s="65">
        <f ca="1">$D$15*C34</f>
        <v>625</v>
      </c>
    </row>
    <row r="35" spans="2:5" ht="15.75" thickBot="1" x14ac:dyDescent="0.3">
      <c r="B35" s="51" t="s">
        <v>18</v>
      </c>
      <c r="C35" s="64">
        <f ca="1">VLOOKUP(B35,INDIRECT($D$32),2,FALSE)</f>
        <v>0.2</v>
      </c>
      <c r="D35" s="65">
        <f t="shared" ref="D35:D39" ca="1" si="1">$D$15*C35</f>
        <v>500</v>
      </c>
    </row>
    <row r="36" spans="2:5" ht="15.75" thickBot="1" x14ac:dyDescent="0.3">
      <c r="B36" s="51" t="s">
        <v>19</v>
      </c>
      <c r="C36" s="64">
        <f ca="1">VLOOKUP(B36,INDIRECT($D$32),2,FALSE)</f>
        <v>0.15</v>
      </c>
      <c r="D36" s="65">
        <f t="shared" ca="1" si="1"/>
        <v>375</v>
      </c>
    </row>
    <row r="37" spans="2:5" ht="15.75" thickBot="1" x14ac:dyDescent="0.3">
      <c r="B37" s="51" t="s">
        <v>20</v>
      </c>
      <c r="C37" s="64">
        <f ca="1">VLOOKUP(B37,INDIRECT($D$32),2,FALSE)</f>
        <v>0.15</v>
      </c>
      <c r="D37" s="65">
        <f t="shared" ca="1" si="1"/>
        <v>375</v>
      </c>
    </row>
    <row r="38" spans="2:5" ht="15.75" thickBot="1" x14ac:dyDescent="0.3">
      <c r="B38" s="51" t="s">
        <v>21</v>
      </c>
      <c r="C38" s="64">
        <f ca="1">VLOOKUP(B38,INDIRECT($D$32),2,FALSE)</f>
        <v>0.15</v>
      </c>
      <c r="D38" s="65">
        <f t="shared" ca="1" si="1"/>
        <v>375</v>
      </c>
    </row>
    <row r="39" spans="2:5" ht="15.75" thickBot="1" x14ac:dyDescent="0.3">
      <c r="B39" s="54" t="s">
        <v>22</v>
      </c>
      <c r="C39" s="66">
        <f ca="1">VLOOKUP(B39,INDIRECT($D$32),2,FALSE)</f>
        <v>0.1</v>
      </c>
      <c r="D39" s="67">
        <f t="shared" ca="1" si="1"/>
        <v>250</v>
      </c>
    </row>
    <row r="40" spans="2:5" ht="15.75" thickTop="1" x14ac:dyDescent="0.25"/>
    <row r="41" spans="2:5" ht="16.5" hidden="1" thickTop="1" thickBot="1" x14ac:dyDescent="0.3">
      <c r="B41" s="3" t="s">
        <v>23</v>
      </c>
      <c r="C41" s="4" t="s">
        <v>24</v>
      </c>
      <c r="D41" s="2" t="s">
        <v>25</v>
      </c>
    </row>
    <row r="42" spans="2:5" ht="15.75" hidden="1" thickBot="1" x14ac:dyDescent="0.3">
      <c r="B42" s="5" t="s">
        <v>17</v>
      </c>
      <c r="C42" s="6">
        <v>0.3</v>
      </c>
      <c r="D42" s="7">
        <f>$D$15*C42</f>
        <v>750</v>
      </c>
      <c r="E42" s="1"/>
    </row>
    <row r="43" spans="2:5" ht="15.75" hidden="1" thickBot="1" x14ac:dyDescent="0.3">
      <c r="B43" s="5" t="s">
        <v>18</v>
      </c>
      <c r="C43" s="6">
        <v>0.25</v>
      </c>
      <c r="D43" s="7">
        <f t="shared" ref="D43:D55" si="2">$D$15*C43</f>
        <v>625</v>
      </c>
      <c r="E43" s="1"/>
    </row>
    <row r="44" spans="2:5" ht="15.75" hidden="1" thickBot="1" x14ac:dyDescent="0.3">
      <c r="B44" s="5" t="s">
        <v>19</v>
      </c>
      <c r="C44" s="6">
        <v>0.1</v>
      </c>
      <c r="D44" s="7">
        <f t="shared" si="2"/>
        <v>250</v>
      </c>
      <c r="E44" s="1"/>
    </row>
    <row r="45" spans="2:5" ht="15.75" hidden="1" thickBot="1" x14ac:dyDescent="0.3">
      <c r="B45" s="5" t="s">
        <v>20</v>
      </c>
      <c r="C45" s="6">
        <v>0.1</v>
      </c>
      <c r="D45" s="7">
        <f t="shared" si="2"/>
        <v>250</v>
      </c>
      <c r="E45" s="1"/>
    </row>
    <row r="46" spans="2:5" ht="15.75" hidden="1" thickBot="1" x14ac:dyDescent="0.3">
      <c r="B46" s="5" t="s">
        <v>21</v>
      </c>
      <c r="C46" s="6">
        <v>0.2</v>
      </c>
      <c r="D46" s="7">
        <f t="shared" si="2"/>
        <v>500</v>
      </c>
      <c r="E46" s="1"/>
    </row>
    <row r="47" spans="2:5" ht="15.75" hidden="1" thickBot="1" x14ac:dyDescent="0.3">
      <c r="B47" s="8" t="s">
        <v>22</v>
      </c>
      <c r="C47" s="9">
        <v>0.05</v>
      </c>
      <c r="D47" s="10">
        <f t="shared" si="2"/>
        <v>125</v>
      </c>
      <c r="E47" s="1"/>
    </row>
    <row r="48" spans="2:5" ht="16.5" hidden="1" thickTop="1" thickBot="1" x14ac:dyDescent="0.3"/>
    <row r="49" spans="2:4" ht="16.5" hidden="1" thickTop="1" thickBot="1" x14ac:dyDescent="0.3">
      <c r="B49" s="3" t="s">
        <v>26</v>
      </c>
      <c r="C49" s="4" t="s">
        <v>24</v>
      </c>
      <c r="D49" s="2" t="s">
        <v>25</v>
      </c>
    </row>
    <row r="50" spans="2:4" ht="15.75" hidden="1" thickBot="1" x14ac:dyDescent="0.3">
      <c r="B50" s="5" t="s">
        <v>17</v>
      </c>
      <c r="C50" s="6">
        <v>0.25</v>
      </c>
      <c r="D50" s="7">
        <f t="shared" si="2"/>
        <v>625</v>
      </c>
    </row>
    <row r="51" spans="2:4" ht="15.75" hidden="1" thickBot="1" x14ac:dyDescent="0.3">
      <c r="B51" s="5" t="s">
        <v>18</v>
      </c>
      <c r="C51" s="6">
        <v>0.2</v>
      </c>
      <c r="D51" s="7">
        <f t="shared" si="2"/>
        <v>500</v>
      </c>
    </row>
    <row r="52" spans="2:4" ht="15.75" hidden="1" thickBot="1" x14ac:dyDescent="0.3">
      <c r="B52" s="5" t="s">
        <v>19</v>
      </c>
      <c r="C52" s="6">
        <v>0.15</v>
      </c>
      <c r="D52" s="7">
        <f t="shared" si="2"/>
        <v>375</v>
      </c>
    </row>
    <row r="53" spans="2:4" ht="15.75" hidden="1" thickBot="1" x14ac:dyDescent="0.3">
      <c r="B53" s="5" t="s">
        <v>20</v>
      </c>
      <c r="C53" s="6">
        <v>0.15</v>
      </c>
      <c r="D53" s="7">
        <f t="shared" si="2"/>
        <v>375</v>
      </c>
    </row>
    <row r="54" spans="2:4" ht="15.75" hidden="1" thickBot="1" x14ac:dyDescent="0.3">
      <c r="B54" s="5" t="s">
        <v>21</v>
      </c>
      <c r="C54" s="6">
        <v>0.15</v>
      </c>
      <c r="D54" s="7">
        <f t="shared" si="2"/>
        <v>375</v>
      </c>
    </row>
    <row r="55" spans="2:4" ht="15.75" hidden="1" thickBot="1" x14ac:dyDescent="0.3">
      <c r="B55" s="8" t="s">
        <v>22</v>
      </c>
      <c r="C55" s="9">
        <v>0.1</v>
      </c>
      <c r="D55" s="10">
        <f t="shared" si="2"/>
        <v>250</v>
      </c>
    </row>
    <row r="56" spans="2:4" ht="16.5" hidden="1" thickTop="1" thickBot="1" x14ac:dyDescent="0.3"/>
    <row r="57" spans="2:4" ht="16.5" hidden="1" thickTop="1" thickBot="1" x14ac:dyDescent="0.3">
      <c r="B57" s="3" t="s">
        <v>27</v>
      </c>
      <c r="C57" s="4" t="s">
        <v>24</v>
      </c>
      <c r="D57" s="2" t="s">
        <v>25</v>
      </c>
    </row>
    <row r="58" spans="2:4" ht="15.75" hidden="1" thickBot="1" x14ac:dyDescent="0.3">
      <c r="B58" s="5" t="s">
        <v>17</v>
      </c>
      <c r="C58" s="6">
        <v>0.15</v>
      </c>
      <c r="D58" s="7">
        <f t="shared" ref="D58:D63" si="3">$D$15*C58</f>
        <v>375</v>
      </c>
    </row>
    <row r="59" spans="2:4" ht="15.75" hidden="1" thickBot="1" x14ac:dyDescent="0.3">
      <c r="B59" s="5" t="s">
        <v>18</v>
      </c>
      <c r="C59" s="6">
        <v>0.1</v>
      </c>
      <c r="D59" s="7">
        <f t="shared" si="3"/>
        <v>250</v>
      </c>
    </row>
    <row r="60" spans="2:4" ht="15.75" hidden="1" thickBot="1" x14ac:dyDescent="0.3">
      <c r="B60" s="5" t="s">
        <v>19</v>
      </c>
      <c r="C60" s="6">
        <v>0.25</v>
      </c>
      <c r="D60" s="7">
        <f t="shared" si="3"/>
        <v>625</v>
      </c>
    </row>
    <row r="61" spans="2:4" ht="15.75" hidden="1" thickBot="1" x14ac:dyDescent="0.3">
      <c r="B61" s="5" t="s">
        <v>20</v>
      </c>
      <c r="C61" s="6">
        <v>0.25</v>
      </c>
      <c r="D61" s="7">
        <f t="shared" si="3"/>
        <v>625</v>
      </c>
    </row>
    <row r="62" spans="2:4" ht="15.75" hidden="1" thickBot="1" x14ac:dyDescent="0.3">
      <c r="B62" s="5" t="s">
        <v>21</v>
      </c>
      <c r="C62" s="6">
        <v>0.15</v>
      </c>
      <c r="D62" s="7">
        <f t="shared" si="3"/>
        <v>375</v>
      </c>
    </row>
    <row r="63" spans="2:4" ht="15.75" hidden="1" thickBot="1" x14ac:dyDescent="0.3">
      <c r="B63" s="8" t="s">
        <v>22</v>
      </c>
      <c r="C63" s="9">
        <v>0.1</v>
      </c>
      <c r="D63" s="10">
        <f t="shared" si="3"/>
        <v>250</v>
      </c>
    </row>
  </sheetData>
  <sheetProtection sheet="1" objects="1" scenarios="1"/>
  <mergeCells count="11">
    <mergeCell ref="B9:C9"/>
    <mergeCell ref="B14:C14"/>
    <mergeCell ref="B21:C21"/>
    <mergeCell ref="B10:C10"/>
    <mergeCell ref="B11:C11"/>
    <mergeCell ref="B12:C12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D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J111"/>
  <sheetViews>
    <sheetView showGridLines="0" workbookViewId="0">
      <selection activeCell="H44" sqref="H44"/>
    </sheetView>
  </sheetViews>
  <sheetFormatPr defaultRowHeight="15" zeroHeight="1" x14ac:dyDescent="0.25"/>
  <cols>
    <col min="7" max="7" width="21.85546875" bestFit="1" customWidth="1"/>
    <col min="8" max="8" width="25.5703125" bestFit="1" customWidth="1"/>
    <col min="9" max="9" width="19" bestFit="1" customWidth="1"/>
  </cols>
  <sheetData>
    <row r="1" spans="7:9" x14ac:dyDescent="0.25"/>
    <row r="2" spans="7:9" x14ac:dyDescent="0.25"/>
    <row r="3" spans="7:9" x14ac:dyDescent="0.25"/>
    <row r="4" spans="7:9" x14ac:dyDescent="0.25"/>
    <row r="5" spans="7:9" x14ac:dyDescent="0.25"/>
    <row r="6" spans="7:9" x14ac:dyDescent="0.25"/>
    <row r="7" spans="7:9" x14ac:dyDescent="0.25"/>
    <row r="8" spans="7:9" ht="15.75" thickBot="1" x14ac:dyDescent="0.3"/>
    <row r="9" spans="7:9" ht="16.5" thickTop="1" thickBot="1" x14ac:dyDescent="0.3">
      <c r="G9" s="27" t="s">
        <v>14</v>
      </c>
      <c r="H9" s="28"/>
      <c r="I9" s="29" t="s">
        <v>29</v>
      </c>
    </row>
    <row r="10" spans="7:9" ht="15.75" thickBot="1" x14ac:dyDescent="0.3">
      <c r="G10" s="17" t="s">
        <v>28</v>
      </c>
      <c r="H10" s="18"/>
      <c r="I10" s="30">
        <v>5000</v>
      </c>
    </row>
    <row r="11" spans="7:9" ht="15.75" thickBot="1" x14ac:dyDescent="0.3">
      <c r="G11" s="17" t="s">
        <v>15</v>
      </c>
      <c r="H11" s="18"/>
      <c r="I11" s="31">
        <v>8.8999999999999995E-4</v>
      </c>
    </row>
    <row r="12" spans="7:9" ht="15.75" thickBot="1" x14ac:dyDescent="0.3">
      <c r="G12" s="19" t="s">
        <v>16</v>
      </c>
      <c r="H12" s="20"/>
      <c r="I12" s="32">
        <f>I10*20%</f>
        <v>1000</v>
      </c>
    </row>
    <row r="13" spans="7:9" ht="16.5" thickTop="1" thickBot="1" x14ac:dyDescent="0.3">
      <c r="G13" s="33"/>
      <c r="H13" s="33"/>
      <c r="I13" s="33"/>
    </row>
    <row r="14" spans="7:9" ht="16.5" thickTop="1" thickBot="1" x14ac:dyDescent="0.3">
      <c r="G14" s="34" t="s">
        <v>1</v>
      </c>
      <c r="H14" s="35"/>
      <c r="I14" s="36" t="s">
        <v>29</v>
      </c>
    </row>
    <row r="15" spans="7:9" ht="17.25" thickBot="1" x14ac:dyDescent="0.35">
      <c r="G15" s="21" t="s">
        <v>4</v>
      </c>
      <c r="H15" s="22"/>
      <c r="I15" s="37">
        <v>2500</v>
      </c>
    </row>
    <row r="16" spans="7:9" ht="15.75" thickBot="1" x14ac:dyDescent="0.3">
      <c r="G16" s="23" t="s">
        <v>5</v>
      </c>
      <c r="H16" s="24"/>
      <c r="I16" s="38">
        <v>5</v>
      </c>
    </row>
    <row r="17" spans="7:9" ht="15.75" thickBot="1" x14ac:dyDescent="0.3">
      <c r="G17" s="23" t="s">
        <v>0</v>
      </c>
      <c r="H17" s="24"/>
      <c r="I17" s="39">
        <v>1.0800000000000001E-2</v>
      </c>
    </row>
    <row r="18" spans="7:9" ht="15.75" thickBot="1" x14ac:dyDescent="0.3">
      <c r="G18" s="23" t="s">
        <v>2</v>
      </c>
      <c r="H18" s="24"/>
      <c r="I18" s="12">
        <f>FV(I17,I16*12,I15*-1)</f>
        <v>209510.04839814609</v>
      </c>
    </row>
    <row r="19" spans="7:9" ht="15.75" thickBot="1" x14ac:dyDescent="0.3">
      <c r="G19" s="25" t="s">
        <v>3</v>
      </c>
      <c r="H19" s="26"/>
      <c r="I19" s="14">
        <f>I18*I17</f>
        <v>2262.7085226999779</v>
      </c>
    </row>
    <row r="20" spans="7:9" ht="16.5" thickTop="1" thickBot="1" x14ac:dyDescent="0.3">
      <c r="G20" s="33"/>
      <c r="H20" s="33"/>
      <c r="I20" s="33"/>
    </row>
    <row r="21" spans="7:9" ht="16.5" thickTop="1" thickBot="1" x14ac:dyDescent="0.3">
      <c r="G21" s="27" t="s">
        <v>6</v>
      </c>
      <c r="H21" s="40"/>
      <c r="I21" s="41" t="s">
        <v>3</v>
      </c>
    </row>
    <row r="22" spans="7:9" ht="15.75" thickBot="1" x14ac:dyDescent="0.3">
      <c r="G22" s="15" t="s">
        <v>7</v>
      </c>
      <c r="H22" s="11">
        <f>FV($J$19,1*12,$J$17*-1)</f>
        <v>0</v>
      </c>
      <c r="I22" s="12">
        <f>H22*$J$13</f>
        <v>0</v>
      </c>
    </row>
    <row r="23" spans="7:9" ht="15.75" thickBot="1" x14ac:dyDescent="0.3">
      <c r="G23" s="15" t="s">
        <v>8</v>
      </c>
      <c r="H23" s="11">
        <f>FV($J$19,2*12,$J$17*-1)</f>
        <v>0</v>
      </c>
      <c r="I23" s="12">
        <f t="shared" ref="I23:I28" si="0">H23*$J$13</f>
        <v>0</v>
      </c>
    </row>
    <row r="24" spans="7:9" ht="15.75" thickBot="1" x14ac:dyDescent="0.3">
      <c r="G24" s="15" t="s">
        <v>9</v>
      </c>
      <c r="H24" s="11">
        <f>FV($J$19,5*12,$J$17*-1)</f>
        <v>0</v>
      </c>
      <c r="I24" s="12">
        <f t="shared" si="0"/>
        <v>0</v>
      </c>
    </row>
    <row r="25" spans="7:9" ht="15.75" thickBot="1" x14ac:dyDescent="0.3">
      <c r="G25" s="15" t="s">
        <v>10</v>
      </c>
      <c r="H25" s="11">
        <f>FV($J$19,10*12,$J$17*-1)</f>
        <v>0</v>
      </c>
      <c r="I25" s="12">
        <f t="shared" si="0"/>
        <v>0</v>
      </c>
    </row>
    <row r="26" spans="7:9" ht="15.75" thickBot="1" x14ac:dyDescent="0.3">
      <c r="G26" s="15" t="s">
        <v>11</v>
      </c>
      <c r="H26" s="11">
        <f>FV($J$19,15*12,$J$17*-1)</f>
        <v>0</v>
      </c>
      <c r="I26" s="12">
        <f t="shared" si="0"/>
        <v>0</v>
      </c>
    </row>
    <row r="27" spans="7:9" ht="15.75" thickBot="1" x14ac:dyDescent="0.3">
      <c r="G27" s="15" t="s">
        <v>12</v>
      </c>
      <c r="H27" s="11">
        <f>FV($J$19,20*12,$J$17*-1)</f>
        <v>0</v>
      </c>
      <c r="I27" s="12">
        <f t="shared" si="0"/>
        <v>0</v>
      </c>
    </row>
    <row r="28" spans="7:9" ht="15.75" thickBot="1" x14ac:dyDescent="0.3">
      <c r="G28" s="16" t="s">
        <v>13</v>
      </c>
      <c r="H28" s="13">
        <f>FV($J$19,30*12,$J$17*-1)</f>
        <v>0</v>
      </c>
      <c r="I28" s="14">
        <f t="shared" si="0"/>
        <v>0</v>
      </c>
    </row>
    <row r="29" spans="7:9" ht="15.75" thickTop="1" x14ac:dyDescent="0.25">
      <c r="G29" s="33"/>
      <c r="H29" s="33"/>
      <c r="I29" s="33"/>
    </row>
    <row r="30" spans="7:9" x14ac:dyDescent="0.25">
      <c r="G30" s="33"/>
      <c r="H30" s="33"/>
      <c r="I30" s="33"/>
    </row>
    <row r="31" spans="7:9" ht="15.75" thickBot="1" x14ac:dyDescent="0.3">
      <c r="G31" s="33"/>
      <c r="H31" s="33"/>
      <c r="I31" s="33"/>
    </row>
    <row r="32" spans="7:9" ht="16.5" thickTop="1" thickBot="1" x14ac:dyDescent="0.3">
      <c r="G32" s="42" t="s">
        <v>32</v>
      </c>
      <c r="H32" s="43" t="s">
        <v>33</v>
      </c>
      <c r="I32" s="44" t="s">
        <v>31</v>
      </c>
    </row>
    <row r="33" spans="7:9" ht="16.5" thickTop="1" thickBot="1" x14ac:dyDescent="0.3">
      <c r="G33" s="45" t="s">
        <v>30</v>
      </c>
      <c r="H33" s="46" t="s">
        <v>24</v>
      </c>
      <c r="I33" s="47" t="s">
        <v>25</v>
      </c>
    </row>
    <row r="34" spans="7:9" ht="15.75" thickBot="1" x14ac:dyDescent="0.3">
      <c r="G34" s="15" t="s">
        <v>17</v>
      </c>
      <c r="H34" s="6" t="e">
        <f ca="1">VLOOKUP(G34,INDIRECT($J$34),2,FALSE)</f>
        <v>#REF!</v>
      </c>
      <c r="I34" s="7" t="e">
        <f ca="1">$J$17*H34</f>
        <v>#REF!</v>
      </c>
    </row>
    <row r="35" spans="7:9" ht="15.75" thickBot="1" x14ac:dyDescent="0.3">
      <c r="G35" s="15" t="s">
        <v>18</v>
      </c>
      <c r="H35" s="6" t="e">
        <f ca="1">VLOOKUP(G35,INDIRECT($J$34),2,FALSE)</f>
        <v>#REF!</v>
      </c>
      <c r="I35" s="7" t="e">
        <f t="shared" ref="I35:I39" ca="1" si="1">$J$17*H35</f>
        <v>#REF!</v>
      </c>
    </row>
    <row r="36" spans="7:9" ht="15.75" thickBot="1" x14ac:dyDescent="0.3">
      <c r="G36" s="15" t="s">
        <v>19</v>
      </c>
      <c r="H36" s="6" t="e">
        <f ca="1">VLOOKUP(G36,INDIRECT($J$34),2,FALSE)</f>
        <v>#REF!</v>
      </c>
      <c r="I36" s="7" t="e">
        <f t="shared" ca="1" si="1"/>
        <v>#REF!</v>
      </c>
    </row>
    <row r="37" spans="7:9" ht="15.75" thickBot="1" x14ac:dyDescent="0.3">
      <c r="G37" s="15" t="s">
        <v>20</v>
      </c>
      <c r="H37" s="6" t="e">
        <f ca="1">VLOOKUP(G37,INDIRECT($J$34),2,FALSE)</f>
        <v>#REF!</v>
      </c>
      <c r="I37" s="7" t="e">
        <f t="shared" ca="1" si="1"/>
        <v>#REF!</v>
      </c>
    </row>
    <row r="38" spans="7:9" ht="15.75" thickBot="1" x14ac:dyDescent="0.3">
      <c r="G38" s="15" t="s">
        <v>21</v>
      </c>
      <c r="H38" s="6" t="e">
        <f ca="1">VLOOKUP(G38,INDIRECT($J$34),2,FALSE)</f>
        <v>#REF!</v>
      </c>
      <c r="I38" s="7" t="e">
        <f t="shared" ca="1" si="1"/>
        <v>#REF!</v>
      </c>
    </row>
    <row r="39" spans="7:9" ht="15.75" thickBot="1" x14ac:dyDescent="0.3">
      <c r="G39" s="16" t="s">
        <v>22</v>
      </c>
      <c r="H39" s="9" t="e">
        <f ca="1">VLOOKUP(G39,INDIRECT($J$34),2,FALSE)</f>
        <v>#REF!</v>
      </c>
      <c r="I39" s="10" t="e">
        <f t="shared" ca="1" si="1"/>
        <v>#REF!</v>
      </c>
    </row>
    <row r="40" spans="7:9" ht="15.75" thickTop="1" x14ac:dyDescent="0.25"/>
    <row r="41" spans="7:9" x14ac:dyDescent="0.25"/>
    <row r="42" spans="7:9" x14ac:dyDescent="0.25"/>
    <row r="43" spans="7:9" x14ac:dyDescent="0.25"/>
    <row r="44" spans="7:9" x14ac:dyDescent="0.25"/>
    <row r="45" spans="7:9" x14ac:dyDescent="0.25"/>
    <row r="46" spans="7:9" x14ac:dyDescent="0.25"/>
    <row r="47" spans="7:9" x14ac:dyDescent="0.25"/>
    <row r="48" spans="7:9" x14ac:dyDescent="0.25"/>
    <row r="49" spans="7:10" x14ac:dyDescent="0.25">
      <c r="G49" s="33"/>
      <c r="H49" s="33"/>
      <c r="I49" s="33"/>
    </row>
    <row r="50" spans="7:10" ht="16.5" hidden="1" thickTop="1" thickBot="1" x14ac:dyDescent="0.3">
      <c r="G50" s="45" t="s">
        <v>23</v>
      </c>
      <c r="H50" s="46" t="s">
        <v>24</v>
      </c>
      <c r="I50" s="47" t="s">
        <v>25</v>
      </c>
    </row>
    <row r="51" spans="7:10" ht="15.75" hidden="1" thickBot="1" x14ac:dyDescent="0.3">
      <c r="G51" s="15" t="s">
        <v>17</v>
      </c>
      <c r="H51" s="6">
        <v>0.3</v>
      </c>
      <c r="I51" s="7">
        <f>$J$17*H51</f>
        <v>0</v>
      </c>
      <c r="J51" s="1"/>
    </row>
    <row r="52" spans="7:10" ht="15.75" hidden="1" thickBot="1" x14ac:dyDescent="0.3">
      <c r="G52" s="15" t="s">
        <v>18</v>
      </c>
      <c r="H52" s="6">
        <v>0.25</v>
      </c>
      <c r="I52" s="7">
        <f t="shared" ref="I52:I64" si="2">$J$17*H52</f>
        <v>0</v>
      </c>
      <c r="J52" s="1"/>
    </row>
    <row r="53" spans="7:10" ht="15.75" hidden="1" thickBot="1" x14ac:dyDescent="0.3">
      <c r="G53" s="15" t="s">
        <v>19</v>
      </c>
      <c r="H53" s="6">
        <v>0.1</v>
      </c>
      <c r="I53" s="7">
        <f t="shared" si="2"/>
        <v>0</v>
      </c>
      <c r="J53" s="1"/>
    </row>
    <row r="54" spans="7:10" ht="15.75" hidden="1" thickBot="1" x14ac:dyDescent="0.3">
      <c r="G54" s="15" t="s">
        <v>20</v>
      </c>
      <c r="H54" s="6">
        <v>0.1</v>
      </c>
      <c r="I54" s="7">
        <f t="shared" si="2"/>
        <v>0</v>
      </c>
      <c r="J54" s="1"/>
    </row>
    <row r="55" spans="7:10" ht="15.75" hidden="1" thickBot="1" x14ac:dyDescent="0.3">
      <c r="G55" s="15" t="s">
        <v>21</v>
      </c>
      <c r="H55" s="6">
        <v>0.2</v>
      </c>
      <c r="I55" s="7">
        <f t="shared" si="2"/>
        <v>0</v>
      </c>
      <c r="J55" s="1"/>
    </row>
    <row r="56" spans="7:10" ht="15.75" hidden="1" thickBot="1" x14ac:dyDescent="0.3">
      <c r="G56" s="16" t="s">
        <v>22</v>
      </c>
      <c r="H56" s="9">
        <v>0.05</v>
      </c>
      <c r="I56" s="10">
        <f t="shared" si="2"/>
        <v>0</v>
      </c>
      <c r="J56" s="1"/>
    </row>
    <row r="57" spans="7:10" ht="16.5" hidden="1" thickTop="1" thickBot="1" x14ac:dyDescent="0.3">
      <c r="G57" s="33"/>
      <c r="H57" s="33"/>
      <c r="I57" s="33"/>
    </row>
    <row r="58" spans="7:10" ht="16.5" hidden="1" thickTop="1" thickBot="1" x14ac:dyDescent="0.3">
      <c r="G58" s="45" t="s">
        <v>26</v>
      </c>
      <c r="H58" s="46" t="s">
        <v>24</v>
      </c>
      <c r="I58" s="47" t="s">
        <v>25</v>
      </c>
    </row>
    <row r="59" spans="7:10" ht="15.75" hidden="1" thickBot="1" x14ac:dyDescent="0.3">
      <c r="G59" s="15" t="s">
        <v>17</v>
      </c>
      <c r="H59" s="6">
        <v>0.25</v>
      </c>
      <c r="I59" s="7">
        <f t="shared" si="2"/>
        <v>0</v>
      </c>
    </row>
    <row r="60" spans="7:10" ht="15.75" hidden="1" thickBot="1" x14ac:dyDescent="0.3">
      <c r="G60" s="15" t="s">
        <v>18</v>
      </c>
      <c r="H60" s="6">
        <v>0.2</v>
      </c>
      <c r="I60" s="7">
        <f t="shared" si="2"/>
        <v>0</v>
      </c>
    </row>
    <row r="61" spans="7:10" ht="15.75" hidden="1" thickBot="1" x14ac:dyDescent="0.3">
      <c r="G61" s="15" t="s">
        <v>19</v>
      </c>
      <c r="H61" s="6">
        <v>0.15</v>
      </c>
      <c r="I61" s="7">
        <f t="shared" si="2"/>
        <v>0</v>
      </c>
    </row>
    <row r="62" spans="7:10" ht="15.75" hidden="1" thickBot="1" x14ac:dyDescent="0.3">
      <c r="G62" s="15" t="s">
        <v>20</v>
      </c>
      <c r="H62" s="6">
        <v>0.15</v>
      </c>
      <c r="I62" s="7">
        <f t="shared" si="2"/>
        <v>0</v>
      </c>
    </row>
    <row r="63" spans="7:10" ht="15.75" hidden="1" thickBot="1" x14ac:dyDescent="0.3">
      <c r="G63" s="15" t="s">
        <v>21</v>
      </c>
      <c r="H63" s="6">
        <v>0.15</v>
      </c>
      <c r="I63" s="7">
        <f t="shared" si="2"/>
        <v>0</v>
      </c>
    </row>
    <row r="64" spans="7:10" ht="15.75" hidden="1" thickBot="1" x14ac:dyDescent="0.3">
      <c r="G64" s="16" t="s">
        <v>22</v>
      </c>
      <c r="H64" s="9">
        <v>0.1</v>
      </c>
      <c r="I64" s="10">
        <f t="shared" si="2"/>
        <v>0</v>
      </c>
    </row>
    <row r="65" spans="7:9" ht="16.5" hidden="1" thickTop="1" thickBot="1" x14ac:dyDescent="0.3">
      <c r="G65" s="33"/>
      <c r="H65" s="33"/>
      <c r="I65" s="33"/>
    </row>
    <row r="66" spans="7:9" ht="16.5" hidden="1" thickTop="1" thickBot="1" x14ac:dyDescent="0.3">
      <c r="G66" s="45" t="s">
        <v>27</v>
      </c>
      <c r="H66" s="46" t="s">
        <v>24</v>
      </c>
      <c r="I66" s="47" t="s">
        <v>25</v>
      </c>
    </row>
    <row r="67" spans="7:9" ht="15.75" hidden="1" thickBot="1" x14ac:dyDescent="0.3">
      <c r="G67" s="15" t="s">
        <v>17</v>
      </c>
      <c r="H67" s="6">
        <v>0.15</v>
      </c>
      <c r="I67" s="7">
        <f t="shared" ref="I67:I72" si="3">$J$17*H67</f>
        <v>0</v>
      </c>
    </row>
    <row r="68" spans="7:9" ht="15.75" hidden="1" thickBot="1" x14ac:dyDescent="0.3">
      <c r="G68" s="15" t="s">
        <v>18</v>
      </c>
      <c r="H68" s="6">
        <v>0.1</v>
      </c>
      <c r="I68" s="7">
        <f t="shared" si="3"/>
        <v>0</v>
      </c>
    </row>
    <row r="69" spans="7:9" ht="15.75" hidden="1" thickBot="1" x14ac:dyDescent="0.3">
      <c r="G69" s="15" t="s">
        <v>19</v>
      </c>
      <c r="H69" s="6">
        <v>0.25</v>
      </c>
      <c r="I69" s="7">
        <f t="shared" si="3"/>
        <v>0</v>
      </c>
    </row>
    <row r="70" spans="7:9" ht="15.75" hidden="1" thickBot="1" x14ac:dyDescent="0.3">
      <c r="G70" s="15" t="s">
        <v>20</v>
      </c>
      <c r="H70" s="6">
        <v>0.25</v>
      </c>
      <c r="I70" s="7">
        <f t="shared" si="3"/>
        <v>0</v>
      </c>
    </row>
    <row r="71" spans="7:9" ht="15.75" hidden="1" thickBot="1" x14ac:dyDescent="0.3">
      <c r="G71" s="15" t="s">
        <v>21</v>
      </c>
      <c r="H71" s="6">
        <v>0.15</v>
      </c>
      <c r="I71" s="7">
        <f t="shared" si="3"/>
        <v>0</v>
      </c>
    </row>
    <row r="72" spans="7:9" ht="15.75" hidden="1" thickBot="1" x14ac:dyDescent="0.3">
      <c r="G72" s="16" t="s">
        <v>22</v>
      </c>
      <c r="H72" s="9">
        <v>0.1</v>
      </c>
      <c r="I72" s="10">
        <f t="shared" si="3"/>
        <v>0</v>
      </c>
    </row>
    <row r="73" spans="7:9" ht="15.75" hidden="1" thickTop="1" x14ac:dyDescent="0.25"/>
    <row r="74" spans="7:9" hidden="1" x14ac:dyDescent="0.25"/>
    <row r="75" spans="7:9" hidden="1" x14ac:dyDescent="0.25"/>
    <row r="76" spans="7:9" hidden="1" x14ac:dyDescent="0.25"/>
    <row r="77" spans="7:9" hidden="1" x14ac:dyDescent="0.25"/>
    <row r="78" spans="7:9" hidden="1" x14ac:dyDescent="0.25"/>
    <row r="79" spans="7:9" hidden="1" x14ac:dyDescent="0.25"/>
    <row r="80" spans="7:9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</sheetData>
  <sheetProtection sheet="1" objects="1" scenarios="1"/>
  <mergeCells count="11">
    <mergeCell ref="G16:H16"/>
    <mergeCell ref="G17:H17"/>
    <mergeCell ref="G18:H18"/>
    <mergeCell ref="G19:H19"/>
    <mergeCell ref="G21:H21"/>
    <mergeCell ref="G9:H9"/>
    <mergeCell ref="G10:H10"/>
    <mergeCell ref="G11:H11"/>
    <mergeCell ref="G12:H12"/>
    <mergeCell ref="G14:H14"/>
    <mergeCell ref="G15:H15"/>
  </mergeCells>
  <dataValidations count="1">
    <dataValidation type="list" allowBlank="1" showInputMessage="1" showErrorMessage="1" sqref="I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Plan_investimentos</vt:lpstr>
      <vt:lpstr>guia de uso</vt:lpstr>
      <vt:lpstr>Agressivo</vt:lpstr>
      <vt:lpstr>conservador</vt:lpstr>
      <vt:lpstr>Consevador</vt:lpstr>
      <vt:lpstr>moderado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Wn10</dc:creator>
  <cp:lastModifiedBy>Wn10</cp:lastModifiedBy>
  <dcterms:created xsi:type="dcterms:W3CDTF">2025-11-06T21:45:24Z</dcterms:created>
  <dcterms:modified xsi:type="dcterms:W3CDTF">2025-11-07T18:06:47Z</dcterms:modified>
</cp:coreProperties>
</file>