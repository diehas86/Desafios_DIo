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n10\Documents\Documentos e certificados diego\estudos dio\"/>
    </mc:Choice>
  </mc:AlternateContent>
  <xr:revisionPtr revIDLastSave="0" documentId="13_ncr:1_{FCAD8808-0D29-4569-9EC0-50AFA8BC2F17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tbn_annual_total">Tabela1[]</definedName>
    <definedName name="tbn_EApass">C̳álculos!$C$26:$D$31</definedName>
    <definedName name="tbn_EApass_total">C̳álculos!$C$26:$D$31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5" i="3" l="1"/>
  <c r="F32" i="3"/>
  <c r="F57" i="3"/>
</calcChain>
</file>

<file path=xl/sharedStrings.xml><?xml version="1.0" encoding="utf-8"?>
<sst xmlns="http://schemas.openxmlformats.org/spreadsheetml/2006/main" count="2035" uniqueCount="325">
  <si>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</si>
  <si>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</si>
  <si>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</si>
  <si>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</si>
  <si>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</si>
  <si>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</si>
  <si>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</si>
  <si>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</si>
  <si>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</si>
  <si>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</si>
  <si>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</si>
  <si>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</si>
  <si>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</si>
  <si>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</si>
  <si>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</si>
  <si>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</si>
  <si>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</si>
  <si>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</si>
  <si>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</si>
  <si>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</si>
  <si>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</si>
  <si>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</si>
  <si>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</si>
  <si>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</si>
  <si>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</si>
  <si>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</si>
  <si>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</si>
  <si>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</si>
  <si>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</si>
  <si>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</si>
  <si>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</si>
  <si>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</si>
  <si>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</si>
  <si>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</si>
  <si>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</si>
  <si>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</si>
  <si>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</si>
  <si>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</si>
  <si>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</si>
  <si>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</si>
  <si>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</si>
  <si>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</si>
  <si>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</si>
  <si>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</si>
  <si>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</si>
  <si>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</si>
  <si>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</si>
  <si>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</si>
  <si>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</si>
  <si>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</si>
  <si>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</si>
  <si>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</si>
  <si>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</si>
  <si>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</si>
  <si>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</si>
  <si>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</si>
  <si>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</si>
  <si>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</si>
  <si>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</si>
  <si>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</si>
  <si>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</si>
  <si>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</si>
  <si>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</si>
  <si>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</si>
  <si>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</si>
  <si>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</si>
  <si>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</si>
  <si>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</si>
  <si>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</si>
  <si>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</si>
  <si>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</si>
  <si>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</si>
  <si>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</si>
  <si>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</si>
  <si>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</si>
  <si>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</si>
  <si>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</si>
  <si>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</si>
  <si>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</si>
  <si>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</si>
  <si>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</si>
  <si>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</si>
  <si>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</si>
  <si>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</si>
  <si>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</si>
  <si>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</si>
  <si>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</si>
  <si>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</si>
  <si>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</si>
  <si>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</si>
  <si>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</si>
  <si>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</si>
  <si>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</si>
  <si>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</si>
  <si>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</si>
  <si>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</si>
  <si>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</si>
  <si>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</si>
  <si>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</si>
  <si>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</si>
  <si>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</si>
  <si>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</si>
  <si>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</si>
  <si>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</si>
  <si>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</si>
  <si>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</si>
  <si>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</si>
  <si>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</si>
  <si>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</si>
  <si>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</si>
  <si>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</si>
  <si>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</si>
  <si>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</si>
  <si>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</si>
  <si>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</si>
  <si>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</si>
  <si>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</si>
  <si>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</si>
  <si>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</si>
  <si>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</si>
  <si>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</si>
  <si>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</si>
  <si>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</si>
  <si>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</si>
  <si>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</si>
  <si>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</si>
  <si>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</si>
  <si>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</si>
  <si>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</si>
  <si>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</si>
  <si>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</si>
  <si>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</si>
  <si>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</si>
  <si>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</si>
  <si>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</si>
  <si>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</si>
  <si>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</si>
  <si>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</si>
  <si>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</si>
  <si>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</si>
  <si>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</si>
  <si>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</si>
  <si>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</si>
  <si>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</si>
  <si>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</si>
  <si>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</si>
  <si>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</si>
  <si>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</si>
  <si>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</si>
  <si>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</si>
  <si>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</si>
  <si>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</si>
  <si>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</si>
  <si>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</si>
  <si>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</si>
  <si>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</si>
  <si>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</si>
  <si>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</si>
  <si>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</si>
  <si>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</si>
  <si>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</si>
  <si>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</si>
  <si>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</si>
  <si>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</si>
  <si>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</si>
  <si>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</si>
  <si>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</si>
  <si>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</si>
  <si>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</si>
  <si>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</si>
  <si>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</si>
  <si>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</si>
  <si>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</si>
  <si>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</si>
  <si>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</si>
  <si>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</si>
  <si>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</si>
  <si>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</si>
  <si>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</si>
  <si>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</si>
  <si>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</si>
  <si>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</si>
  <si>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</si>
  <si>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</si>
  <si>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</si>
  <si>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</si>
  <si>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</si>
  <si>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</si>
  <si>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</si>
  <si>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</si>
  <si>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</si>
  <si>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</si>
  <si>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</si>
  <si>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</si>
  <si>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</si>
  <si>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</si>
  <si>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</si>
  <si>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</si>
  <si>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</si>
  <si>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</si>
  <si>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</si>
  <si>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</si>
  <si>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</si>
  <si>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</si>
  <si>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</si>
  <si>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</si>
  <si>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</si>
  <si>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</si>
  <si>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</si>
  <si>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</si>
  <si>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</si>
  <si>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</si>
  <si>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</si>
  <si>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</si>
  <si>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</si>
  <si>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</si>
  <si>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</si>
  <si>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</si>
  <si>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</si>
  <si>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</si>
  <si>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</si>
  <si>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</si>
  <si>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</si>
  <si>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</si>
  <si>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</si>
  <si>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</si>
  <si>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</si>
  <si>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</si>
  <si>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</si>
  <si>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</si>
  <si>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</si>
  <si>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</si>
  <si>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</si>
  <si>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</si>
  <si>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</si>
  <si>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</si>
  <si>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</si>
  <si>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</si>
  <si>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</si>
  <si>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</si>
  <si>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</si>
  <si>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</si>
  <si>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</si>
  <si>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</si>
  <si>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</si>
  <si>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</si>
  <si>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</si>
  <si>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</si>
  <si>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</si>
  <si>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</si>
  <si>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</si>
  <si>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</si>
  <si>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</si>
  <si>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</si>
  <si>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</si>
  <si>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</si>
  <si>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</si>
  <si>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</si>
  <si>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</si>
  <si>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</si>
  <si>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</si>
  <si>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</si>
  <si>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</si>
  <si>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</si>
  <si>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</si>
  <si>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</si>
  <si>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</si>
  <si>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</si>
  <si>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</si>
  <si>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</si>
  <si>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</si>
  <si>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</si>
  <si>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</si>
  <si>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</si>
  <si>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</si>
  <si>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</si>
  <si>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</si>
  <si>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</si>
  <si>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</si>
  <si>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</si>
  <si>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</si>
  <si>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</si>
  <si>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</si>
  <si>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</si>
  <si>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</si>
  <si>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</si>
  <si>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</si>
  <si>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</si>
  <si>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</si>
  <si>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</si>
  <si>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</si>
  <si>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</si>
  <si>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</si>
  <si>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</si>
  <si>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</si>
  <si>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</si>
  <si>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</si>
  <si>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</si>
  <si>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</si>
  <si>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</si>
  <si>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</si>
  <si>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</si>
  <si>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</si>
  <si>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</si>
  <si>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</si>
  <si>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</si>
  <si>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</si>
  <si>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</si>
  <si>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</si>
  <si>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</si>
  <si>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</si>
  <si>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</si>
  <si>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</si>
  <si>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</si>
  <si>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</si>
  <si>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</si>
  <si>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subscripions sales</t>
  </si>
  <si>
    <t xml:space="preserve">pdn1= Qual faturamento TOTAL DE VENDAS DE PLANOS ANUAIS </t>
  </si>
  <si>
    <t>pdn2= Qual faturamento TOTAL DE VENDAS de PLANOS ANUAIS , separados por autorenovação sim ou não</t>
  </si>
  <si>
    <t>Soma de EA Play Season Pass</t>
  </si>
  <si>
    <t>Soma de Minecraft Season Pass Price</t>
  </si>
  <si>
    <t>Qual é o perfil dos clientes que utilizam cupons (Coupon Value &gt; 0)?</t>
  </si>
  <si>
    <t>? Entender se os cupons atraem clientes de baixo valor ou se aumentam a fidelização de clientes premium.</t>
  </si>
  <si>
    <t>Soma de Coupon Value</t>
  </si>
  <si>
    <t>Calculation period: 01/01/2024 - 31/12/2024 : Update Date:18/11/2025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</si>
</sst>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0" tint="-0.499984740745262"/>
      <name val="Consolas"/>
      <family val="3"/>
    </font>
    <font>
      <u/>
      <sz val="11"/>
      <color theme="1"/>
      <name val="Aptos Narrow"/>
      <family val="2"/>
      <scheme val="minor"/>
    </font>
    <font>
      <b/>
      <sz val="15"/>
      <color rgb="FF22C55E"/>
      <name val="Segoi ui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3" fillId="0" borderId="0" xfId="2" applyFont="1" applyAlignment="1">
      <alignment horizontal="center" vertical="center" wrapText="1"/>
    </xf>
    <xf numFmtId="44" fontId="0" fillId="0" borderId="0" xfId="2" applyFont="1"/>
    <xf numFmtId="14" fontId="3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8" borderId="0" xfId="0" applyFill="1"/>
    <xf numFmtId="0" fontId="1" fillId="0" borderId="2" xfId="1" applyBorder="1"/>
    <xf numFmtId="0" fontId="0" fillId="4" borderId="0" xfId="0" applyFill="1" applyAlignment="1">
      <alignment horizontal="left" indent="1"/>
    </xf>
    <xf numFmtId="44" fontId="0" fillId="0" borderId="0" xfId="0" applyNumberFormat="1"/>
    <xf numFmtId="0" fontId="0" fillId="0" borderId="2" xfId="0" applyBorder="1"/>
    <xf numFmtId="0" fontId="5" fillId="8" borderId="0" xfId="0" applyFont="1" applyFill="1"/>
    <xf numFmtId="0" fontId="4" fillId="0" borderId="0" xfId="0" applyFont="1" applyAlignment="1">
      <alignment horizontal="left" vertical="top" indent="4"/>
    </xf>
    <xf numFmtId="0" fontId="6" fillId="0" borderId="2" xfId="1" applyFont="1" applyBorder="1" applyAlignment="1">
      <alignment horizontal="left" indent="6"/>
    </xf>
    <xf numFmtId="44" fontId="0" fillId="4" borderId="0" xfId="0" applyNumberFormat="1" applyFill="1"/>
    <xf numFmtId="0" fontId="0" fillId="4" borderId="0" xfId="0" applyFont="1" applyFill="1"/>
    <xf numFmtId="0" fontId="5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25">
    <dxf>
      <numFmt numFmtId="34" formatCode="_-&quot;R$&quot;\ * #,##0.00_-;\-&quot;R$&quot;\ * #,##0.00_-;_-&quot;R$&quot;\ * &quot;-&quot;??_-;_-@_-"/>
    </dxf>
    <dxf>
      <fill>
        <patternFill patternType="solid">
          <bgColor rgb="FF22C55E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88904CF7-3244-4227-A570-957818EF2CB4}">
      <tableStyleElement type="wholeTable" dxfId="24"/>
      <tableStyleElement type="headerRow" dxfId="23"/>
    </tableStyle>
    <tableStyle name="SlicerStyleLight6 3" pivot="0" table="0" count="10" xr9:uid="{C65C5C88-2396-4322-8F7E-4AA745F4EF95}">
      <tableStyleElement type="wholeTable" dxfId="22"/>
      <tableStyleElement type="headerRow" dxfId="21"/>
    </tableStyle>
  </tableStyles>
  <colors>
    <mruColors>
      <color rgb="FF22C55E"/>
      <color rgb="FF5BF6A8"/>
      <color rgb="FFBFBFBF"/>
      <color rgb="FFE8E6E9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[dados_dashboard_xbox.xlsx]C̳álculos!Tabela dinâmica2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C̳álculos!$C$8:$C$10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C̳álculos!$D$8:$D$10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0-4FB4-A5BD-EAB2E98D5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4872752"/>
        <c:axId val="944874192"/>
      </c:barChart>
      <c:catAx>
        <c:axId val="94487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4874192"/>
        <c:crosses val="autoZero"/>
        <c:auto val="1"/>
        <c:lblAlgn val="ctr"/>
        <c:lblOffset val="100"/>
        <c:noMultiLvlLbl val="0"/>
      </c:catAx>
      <c:valAx>
        <c:axId val="9448741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448727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[dados_dashboard_xbox.xlsx]C̳álculos!Tabela dinâmica6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C̳álculos!$C$64:$C$68</c:f>
              <c:multiLvlStrCache>
                <c:ptCount val="3"/>
                <c:lvl>
                  <c:pt idx="0">
                    <c:v>Core</c:v>
                  </c:pt>
                  <c:pt idx="1">
                    <c:v>Standard</c:v>
                  </c:pt>
                  <c:pt idx="2">
                    <c:v>Ultimate</c:v>
                  </c:pt>
                </c:lvl>
                <c:lvl>
                  <c:pt idx="0">
                    <c:v>Monthly</c:v>
                  </c:pt>
                </c:lvl>
              </c:multiLvlStrCache>
            </c:multiLvlStrRef>
          </c:cat>
          <c:val>
            <c:numRef>
              <c:f>C̳álculos!$D$64:$D$68</c:f>
              <c:numCache>
                <c:formatCode>_("R$"* #,##0.00_);_("R$"* \(#,##0.00\);_("R$"* "-"??_);_(@_)</c:formatCode>
                <c:ptCount val="3"/>
                <c:pt idx="0">
                  <c:v>53</c:v>
                </c:pt>
                <c:pt idx="1">
                  <c:v>392</c:v>
                </c:pt>
                <c:pt idx="2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0-4DA7-BAFE-0AB1F8470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073760"/>
        <c:axId val="1175062240"/>
      </c:barChart>
      <c:catAx>
        <c:axId val="117507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5062240"/>
        <c:crosses val="autoZero"/>
        <c:auto val="1"/>
        <c:lblAlgn val="ctr"/>
        <c:lblOffset val="100"/>
        <c:noMultiLvlLbl val="0"/>
      </c:catAx>
      <c:valAx>
        <c:axId val="117506224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750737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[dados_dashboard_xbox.xlsx]C̳álculos!Tabela dinâmica2</c:name>
    <c:fmtId val="4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05714130979547"/>
          <c:y val="0.26331745693288772"/>
          <c:w val="0.54409012301936255"/>
          <c:h val="0.59519393837212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C64-456C-A5F7-8187514B93F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C64-456C-A5F7-8187514B93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C̳álculos!$C$8:$C$10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C̳álculos!$D$8:$D$10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4-456C-A5F7-8187514B9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4872752"/>
        <c:axId val="944874192"/>
      </c:barChart>
      <c:catAx>
        <c:axId val="94487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4874192"/>
        <c:crosses val="autoZero"/>
        <c:auto val="1"/>
        <c:lblAlgn val="ctr"/>
        <c:lblOffset val="100"/>
        <c:noMultiLvlLbl val="0"/>
      </c:catAx>
      <c:valAx>
        <c:axId val="9448741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448727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[dados_dashboard_xbox.xlsx]C̳álculos!Tabela dinâmica6</c:name>
    <c:fmtId val="5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solidFill>
              <a:schemeClr val="accent6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accent6">
                      <a:lumMod val="75000"/>
                    </a:schemeClr>
                  </a:solidFill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877789428439235"/>
          <c:y val="0.30218990749504848"/>
          <c:w val="0.68082149026865557"/>
          <c:h val="0.574696091892434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C̳álculos!$C$64:$C$68</c:f>
              <c:multiLvlStrCache>
                <c:ptCount val="3"/>
                <c:lvl>
                  <c:pt idx="0">
                    <c:v>Core</c:v>
                  </c:pt>
                  <c:pt idx="1">
                    <c:v>Standard</c:v>
                  </c:pt>
                  <c:pt idx="2">
                    <c:v>Ultimate</c:v>
                  </c:pt>
                </c:lvl>
                <c:lvl>
                  <c:pt idx="0">
                    <c:v>Monthly</c:v>
                  </c:pt>
                </c:lvl>
              </c:multiLvlStrCache>
            </c:multiLvlStrRef>
          </c:cat>
          <c:val>
            <c:numRef>
              <c:f>C̳álculos!$D$64:$D$68</c:f>
              <c:numCache>
                <c:formatCode>_("R$"* #,##0.00_);_("R$"* \(#,##0.00\);_("R$"* "-"??_);_(@_)</c:formatCode>
                <c:ptCount val="3"/>
                <c:pt idx="0">
                  <c:v>53</c:v>
                </c:pt>
                <c:pt idx="1">
                  <c:v>392</c:v>
                </c:pt>
                <c:pt idx="2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191-42BC-81D8-8B4E88893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073760"/>
        <c:axId val="1175062240"/>
      </c:barChart>
      <c:catAx>
        <c:axId val="117507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5062240"/>
        <c:crosses val="autoZero"/>
        <c:auto val="1"/>
        <c:lblAlgn val="ctr"/>
        <c:lblOffset val="100"/>
        <c:noMultiLvlLbl val="0"/>
      </c:catAx>
      <c:valAx>
        <c:axId val="117506224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750737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7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chart" Target="../charts/chart3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7</xdr:col>
      <xdr:colOff>638175</xdr:colOff>
      <xdr:row>5</xdr:row>
      <xdr:rowOff>90487</xdr:rowOff>
    </xdr:from>
    <xdr:to>
      <xdr:col>13</xdr:col>
      <xdr:colOff>9525</xdr:colOff>
      <xdr:row>16</xdr:row>
      <xdr:rowOff>133350</xdr:rowOff>
    </xdr:to>
    <xdr:graphicFrame macro="">
      <xdr:nvGraphicFramePr>
        <xdr:cNvPr id="2" name="tbn_EApss_">
          <a:extLst>
            <a:ext uri="{FF2B5EF4-FFF2-40B4-BE49-F238E27FC236}">
              <a16:creationId xmlns:a16="http://schemas.microsoft.com/office/drawing/2014/main" id="{73D08B78-AC0F-1830-15DA-4A69533A6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13</xdr:col>
      <xdr:colOff>66675</xdr:colOff>
      <xdr:row>3</xdr:row>
      <xdr:rowOff>142875</xdr:rowOff>
    </xdr:from>
    <xdr:to>
      <xdr:col>15</xdr:col>
      <xdr:colOff>352425</xdr:colOff>
      <xdr:row>17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6866C1C5-D711-16DA-70FF-DC5D355E2B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2200" y="7143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85724</xdr:colOff>
      <xdr:row>62</xdr:row>
      <xdr:rowOff>66675</xdr:rowOff>
    </xdr:from>
    <xdr:to>
      <xdr:col>14</xdr:col>
      <xdr:colOff>257174</xdr:colOff>
      <xdr:row>70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CA8742D-F75F-CFC0-CAB2-1831036B6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873919</xdr:colOff>
      <xdr:row>9</xdr:row>
      <xdr:rowOff>89294</xdr:rowOff>
    </xdr:from>
    <xdr:to>
      <xdr:col>15</xdr:col>
      <xdr:colOff>266700</xdr:colOff>
      <xdr:row>17</xdr:row>
      <xdr:rowOff>178590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id="{337B1938-1D7E-E789-CC69-0BFCABA91566}"/>
            </a:ext>
          </a:extLst>
        </xdr:cNvPr>
        <xdr:cNvGrpSpPr/>
      </xdr:nvGrpSpPr>
      <xdr:grpSpPr>
        <a:xfrm>
          <a:off x="873919" y="1883169"/>
          <a:ext cx="9944364" cy="1613296"/>
          <a:chOff x="999393" y="1940717"/>
          <a:chExt cx="8715376" cy="1613296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27A4B1D6-2239-1022-003A-1EE0BAAE121A}"/>
              </a:ext>
            </a:extLst>
          </xdr:cNvPr>
          <xdr:cNvSpPr/>
        </xdr:nvSpPr>
        <xdr:spPr>
          <a:xfrm>
            <a:off x="1995174" y="2233186"/>
            <a:ext cx="6293583" cy="1248679"/>
          </a:xfrm>
          <a:prstGeom prst="roundRect">
            <a:avLst>
              <a:gd name="adj" fmla="val 4592"/>
            </a:avLst>
          </a:prstGeom>
          <a:solidFill>
            <a:schemeClr val="bg1"/>
          </a:solidFill>
          <a:ln>
            <a:noFill/>
          </a:ln>
          <a:effectLst>
            <a:softEdge rad="0"/>
          </a:effectLst>
          <a:scene3d>
            <a:camera prst="orthographicFront"/>
            <a:lightRig rig="contrasting" dir="t"/>
          </a:scene3d>
          <a:sp3d extrusionH="76200" prstMaterial="metal">
            <a:bevelB w="114300" prst="hardEdge"/>
            <a:extrusionClr>
              <a:schemeClr val="bg2"/>
            </a:extrusion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29466B98-147E-4C76-AC4E-741E588DA9A8}"/>
              </a:ext>
            </a:extLst>
          </xdr:cNvPr>
          <xdr:cNvGraphicFramePr>
            <a:graphicFrameLocks/>
          </xdr:cNvGraphicFramePr>
        </xdr:nvGraphicFramePr>
        <xdr:xfrm>
          <a:off x="999393" y="1940717"/>
          <a:ext cx="8715376" cy="16132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absolute">
    <xdr:from>
      <xdr:col>0</xdr:col>
      <xdr:colOff>1793261</xdr:colOff>
      <xdr:row>0</xdr:row>
      <xdr:rowOff>39414</xdr:rowOff>
    </xdr:from>
    <xdr:to>
      <xdr:col>1</xdr:col>
      <xdr:colOff>623799</xdr:colOff>
      <xdr:row>2</xdr:row>
      <xdr:rowOff>39413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ABCF3F-7C8B-4A0D-9958-35FB6E24BD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34" t="18636" r="71328" b="22545"/>
        <a:stretch/>
      </xdr:blipFill>
      <xdr:spPr>
        <a:xfrm>
          <a:off x="1793261" y="39414"/>
          <a:ext cx="669848" cy="446689"/>
        </a:xfrm>
        <a:prstGeom prst="rect">
          <a:avLst/>
        </a:prstGeom>
        <a:scene3d>
          <a:camera prst="orthographicFront"/>
          <a:lightRig rig="threePt" dir="t"/>
        </a:scene3d>
        <a:sp3d prstMaterial="plastic">
          <a:bevelB w="152400" h="50800" prst="softRound"/>
        </a:sp3d>
      </xdr:spPr>
    </xdr:pic>
    <xdr:clientData/>
  </xdr:twoCellAnchor>
  <xdr:twoCellAnchor editAs="absolute">
    <xdr:from>
      <xdr:col>0</xdr:col>
      <xdr:colOff>0</xdr:colOff>
      <xdr:row>7</xdr:row>
      <xdr:rowOff>94841</xdr:rowOff>
    </xdr:from>
    <xdr:to>
      <xdr:col>0</xdr:col>
      <xdr:colOff>1828800</xdr:colOff>
      <xdr:row>14</xdr:row>
      <xdr:rowOff>11497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026FAF3C-42E1-440A-BD1A-E26B27F733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07716"/>
              <a:ext cx="1828800" cy="1250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142874</xdr:colOff>
      <xdr:row>4</xdr:row>
      <xdr:rowOff>1</xdr:rowOff>
    </xdr:from>
    <xdr:to>
      <xdr:col>5</xdr:col>
      <xdr:colOff>601267</xdr:colOff>
      <xdr:row>9</xdr:row>
      <xdr:rowOff>165496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4A2CC8E0-388D-78E3-94BC-28FB8862254C}"/>
            </a:ext>
          </a:extLst>
        </xdr:cNvPr>
        <xdr:cNvGrpSpPr/>
      </xdr:nvGrpSpPr>
      <xdr:grpSpPr>
        <a:xfrm>
          <a:off x="1979082" y="841376"/>
          <a:ext cx="3257685" cy="1117995"/>
          <a:chOff x="1994296" y="839391"/>
          <a:chExt cx="3250408" cy="1117995"/>
        </a:xfrm>
      </xdr:grpSpPr>
      <xdr:sp macro="" textlink="C̳álculos!F32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6D12125D-7DB4-52D0-1F19-39359D57FDBD}"/>
              </a:ext>
            </a:extLst>
          </xdr:cNvPr>
          <xdr:cNvSpPr/>
        </xdr:nvSpPr>
        <xdr:spPr>
          <a:xfrm>
            <a:off x="1994298" y="988217"/>
            <a:ext cx="3250406" cy="920353"/>
          </a:xfrm>
          <a:prstGeom prst="roundRect">
            <a:avLst>
              <a:gd name="adj" fmla="val 696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2" algn="ctr"/>
            <a:fld id="{DCDFD242-F0BD-4D76-B37B-88FDF07B9C8A}" type="TxLink">
              <a:rPr lang="en-US" sz="2400" b="0" i="0" u="none" strike="noStrike">
                <a:solidFill>
                  <a:srgbClr val="000000"/>
                </a:solidFill>
                <a:latin typeface="Aptos Narrow"/>
              </a:rPr>
              <a:pPr lvl="2" algn="ctr"/>
              <a:t> R$ 1.350,00 </a:t>
            </a:fld>
            <a:endParaRPr lang="pt-BR" sz="6000">
              <a:solidFill>
                <a:schemeClr val="tx1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5A1B97E1-5547-A947-01A2-893957655B82}"/>
              </a:ext>
            </a:extLst>
          </xdr:cNvPr>
          <xdr:cNvSpPr/>
        </xdr:nvSpPr>
        <xdr:spPr>
          <a:xfrm>
            <a:off x="1994296" y="839391"/>
            <a:ext cx="3250407" cy="2381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50"/>
              <a:t>Total</a:t>
            </a:r>
            <a:r>
              <a:rPr lang="pt-BR" sz="1050" baseline="0"/>
              <a:t> subscriptions EA Play Season Pass</a:t>
            </a:r>
            <a:endParaRPr lang="pt-BR" sz="1050"/>
          </a:p>
        </xdr:txBody>
      </xdr:sp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5E789DD4-66CD-4692-8037-29D4C204C4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38375" y="915590"/>
            <a:ext cx="1041796" cy="1041796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65485</xdr:colOff>
      <xdr:row>4</xdr:row>
      <xdr:rowOff>24409</xdr:rowOff>
    </xdr:from>
    <xdr:to>
      <xdr:col>12</xdr:col>
      <xdr:colOff>446487</xdr:colOff>
      <xdr:row>9</xdr:row>
      <xdr:rowOff>141088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6008489-5F04-83C1-38CD-939008F93562}"/>
            </a:ext>
          </a:extLst>
        </xdr:cNvPr>
        <xdr:cNvGrpSpPr/>
      </xdr:nvGrpSpPr>
      <xdr:grpSpPr>
        <a:xfrm>
          <a:off x="5918068" y="865784"/>
          <a:ext cx="3254377" cy="1069179"/>
          <a:chOff x="5750719" y="839390"/>
          <a:chExt cx="3250408" cy="1069179"/>
        </a:xfrm>
      </xdr:grpSpPr>
      <xdr:grpSp>
        <xdr:nvGrpSpPr>
          <xdr:cNvPr id="39" name="Agrupar 38">
            <a:extLst>
              <a:ext uri="{FF2B5EF4-FFF2-40B4-BE49-F238E27FC236}">
                <a16:creationId xmlns:a16="http://schemas.microsoft.com/office/drawing/2014/main" id="{9987CA78-53E7-EFE6-8078-3AC2A6FD9B81}"/>
              </a:ext>
            </a:extLst>
          </xdr:cNvPr>
          <xdr:cNvGrpSpPr/>
        </xdr:nvGrpSpPr>
        <xdr:grpSpPr>
          <a:xfrm>
            <a:off x="5750719" y="839390"/>
            <a:ext cx="3250408" cy="1069179"/>
            <a:chOff x="1994296" y="839391"/>
            <a:chExt cx="3250408" cy="1069179"/>
          </a:xfrm>
        </xdr:grpSpPr>
        <xdr:sp macro="" textlink="C̳álculos!F45">
          <xdr:nvSpPr>
            <xdr:cNvPr id="40" name="Retângulo: Cantos Arredondados 39">
              <a:extLst>
                <a:ext uri="{FF2B5EF4-FFF2-40B4-BE49-F238E27FC236}">
                  <a16:creationId xmlns:a16="http://schemas.microsoft.com/office/drawing/2014/main" id="{DA0E3871-AEF6-ADB2-DEAE-D4C071B9F26F}"/>
                </a:ext>
              </a:extLst>
            </xdr:cNvPr>
            <xdr:cNvSpPr/>
          </xdr:nvSpPr>
          <xdr:spPr>
            <a:xfrm>
              <a:off x="1994298" y="988217"/>
              <a:ext cx="3250406" cy="920353"/>
            </a:xfrm>
            <a:prstGeom prst="roundRect">
              <a:avLst>
                <a:gd name="adj" fmla="val 696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2" algn="ctr"/>
              <a:fld id="{6B1A7C1A-6DCB-404E-B0E9-EA1E517F9BCC}" type="TxLink">
                <a:rPr lang="en-US" sz="2400" b="0" i="0" u="none" strike="noStrike">
                  <a:solidFill>
                    <a:srgbClr val="000000"/>
                  </a:solidFill>
                  <a:latin typeface="Aptos Narrow"/>
                </a:rPr>
                <a:pPr lvl="2" algn="ctr"/>
                <a:t> R$ 1.800,00 </a:t>
              </a:fld>
              <a:endParaRPr lang="pt-BR" sz="115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1" name="Retângulo: Cantos Superiores Arredondados 40">
              <a:extLst>
                <a:ext uri="{FF2B5EF4-FFF2-40B4-BE49-F238E27FC236}">
                  <a16:creationId xmlns:a16="http://schemas.microsoft.com/office/drawing/2014/main" id="{328D8194-A034-2FF8-55D1-7AB13C632E1A}"/>
                </a:ext>
              </a:extLst>
            </xdr:cNvPr>
            <xdr:cNvSpPr/>
          </xdr:nvSpPr>
          <xdr:spPr>
            <a:xfrm>
              <a:off x="1994296" y="839391"/>
              <a:ext cx="3250407" cy="23812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50"/>
                <a:t>Total</a:t>
              </a:r>
              <a:r>
                <a:rPr lang="pt-BR" sz="1050" baseline="0"/>
                <a:t> subscriptions Minecraft Season Pass</a:t>
              </a:r>
              <a:endParaRPr lang="pt-BR" sz="1050"/>
            </a:p>
          </xdr:txBody>
        </xdr:sp>
      </xdr:grpSp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DDAECFCA-7BDB-6036-F966-A0D619615F4F}"/>
              </a:ext>
            </a:extLst>
          </xdr:cNvPr>
          <xdr:cNvGrpSpPr/>
        </xdr:nvGrpSpPr>
        <xdr:grpSpPr>
          <a:xfrm>
            <a:off x="6072188" y="1220391"/>
            <a:ext cx="684609" cy="476250"/>
            <a:chOff x="3495675" y="5400674"/>
            <a:chExt cx="1549476" cy="752476"/>
          </a:xfrm>
        </xdr:grpSpPr>
        <xdr:pic>
          <xdr:nvPicPr>
            <xdr:cNvPr id="43" name="Imagem 42">
              <a:extLst>
                <a:ext uri="{FF2B5EF4-FFF2-40B4-BE49-F238E27FC236}">
                  <a16:creationId xmlns:a16="http://schemas.microsoft.com/office/drawing/2014/main" id="{96C4587C-A9F0-AF3C-AC9E-D4726954024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4" name="Gráfico 43">
              <a:extLst>
                <a:ext uri="{FF2B5EF4-FFF2-40B4-BE49-F238E27FC236}">
                  <a16:creationId xmlns:a16="http://schemas.microsoft.com/office/drawing/2014/main" id="{09CF79F0-6539-F888-B808-AA9173EE47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148828</xdr:colOff>
      <xdr:row>18</xdr:row>
      <xdr:rowOff>153746</xdr:rowOff>
    </xdr:from>
    <xdr:to>
      <xdr:col>6</xdr:col>
      <xdr:colOff>2</xdr:colOff>
      <xdr:row>24</xdr:row>
      <xdr:rowOff>79925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45B31814-5A6B-5E44-B169-C79027F074BC}"/>
            </a:ext>
          </a:extLst>
        </xdr:cNvPr>
        <xdr:cNvGrpSpPr/>
      </xdr:nvGrpSpPr>
      <xdr:grpSpPr>
        <a:xfrm>
          <a:off x="1985036" y="3662121"/>
          <a:ext cx="3259008" cy="1069179"/>
          <a:chOff x="1982391" y="2071688"/>
          <a:chExt cx="3250408" cy="1069179"/>
        </a:xfrm>
      </xdr:grpSpPr>
      <xdr:grpSp>
        <xdr:nvGrpSpPr>
          <xdr:cNvPr id="48" name="Agrupar 47">
            <a:extLst>
              <a:ext uri="{FF2B5EF4-FFF2-40B4-BE49-F238E27FC236}">
                <a16:creationId xmlns:a16="http://schemas.microsoft.com/office/drawing/2014/main" id="{744605A9-553B-481D-AF29-E6566FD4C767}"/>
              </a:ext>
            </a:extLst>
          </xdr:cNvPr>
          <xdr:cNvGrpSpPr/>
        </xdr:nvGrpSpPr>
        <xdr:grpSpPr>
          <a:xfrm>
            <a:off x="1982391" y="2071688"/>
            <a:ext cx="3250408" cy="1069179"/>
            <a:chOff x="1994296" y="839391"/>
            <a:chExt cx="3250408" cy="1069179"/>
          </a:xfrm>
        </xdr:grpSpPr>
        <xdr:sp macro="" textlink="C̳álculos!F32">
          <xdr:nvSpPr>
            <xdr:cNvPr id="49" name="Retângulo: Cantos Arredondados 48">
              <a:extLst>
                <a:ext uri="{FF2B5EF4-FFF2-40B4-BE49-F238E27FC236}">
                  <a16:creationId xmlns:a16="http://schemas.microsoft.com/office/drawing/2014/main" id="{87EDA38B-550F-A0A3-F68D-2CCF7E382B2E}"/>
                </a:ext>
              </a:extLst>
            </xdr:cNvPr>
            <xdr:cNvSpPr/>
          </xdr:nvSpPr>
          <xdr:spPr>
            <a:xfrm>
              <a:off x="1994298" y="988217"/>
              <a:ext cx="3250406" cy="920353"/>
            </a:xfrm>
            <a:prstGeom prst="roundRect">
              <a:avLst>
                <a:gd name="adj" fmla="val 696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2" algn="ctr"/>
              <a:fld id="{DCDFD242-F0BD-4D76-B37B-88FDF07B9C8A}" type="TxLink">
                <a:rPr lang="en-US" sz="2400" b="0" i="0" u="none" strike="noStrike">
                  <a:solidFill>
                    <a:srgbClr val="000000"/>
                  </a:solidFill>
                  <a:latin typeface="Aptos Narrow"/>
                </a:rPr>
                <a:pPr lvl="2" algn="ctr"/>
                <a:t> R$ 1.350,00 </a:t>
              </a:fld>
              <a:endParaRPr lang="pt-BR" sz="60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0" name="Retângulo: Cantos Superiores Arredondados 49">
              <a:extLst>
                <a:ext uri="{FF2B5EF4-FFF2-40B4-BE49-F238E27FC236}">
                  <a16:creationId xmlns:a16="http://schemas.microsoft.com/office/drawing/2014/main" id="{1AFDEDB8-A622-67DB-49CD-609B28B41472}"/>
                </a:ext>
              </a:extLst>
            </xdr:cNvPr>
            <xdr:cNvSpPr/>
          </xdr:nvSpPr>
          <xdr:spPr>
            <a:xfrm>
              <a:off x="1994296" y="839391"/>
              <a:ext cx="3250407" cy="23812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050"/>
                <a:t>Coupon Expenses</a:t>
              </a:r>
            </a:p>
          </xdr:txBody>
        </xdr:sp>
      </xdr:grpSp>
      <xdr:pic>
        <xdr:nvPicPr>
          <xdr:cNvPr id="55" name="Imagem 54">
            <a:extLst>
              <a:ext uri="{FF2B5EF4-FFF2-40B4-BE49-F238E27FC236}">
                <a16:creationId xmlns:a16="http://schemas.microsoft.com/office/drawing/2014/main" id="{2678E5A6-0B9F-3919-CD19-60B9D0ED55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14562" y="2297906"/>
            <a:ext cx="898921" cy="732235"/>
          </a:xfrm>
          <a:prstGeom prst="rect">
            <a:avLst/>
          </a:prstGeom>
        </xdr:spPr>
      </xdr:pic>
    </xdr:grpSp>
    <xdr:clientData/>
  </xdr:twoCellAnchor>
  <xdr:twoCellAnchor editAs="absolute">
    <xdr:from>
      <xdr:col>6</xdr:col>
      <xdr:colOff>381001</xdr:colOff>
      <xdr:row>18</xdr:row>
      <xdr:rowOff>145824</xdr:rowOff>
    </xdr:from>
    <xdr:to>
      <xdr:col>12</xdr:col>
      <xdr:colOff>438978</xdr:colOff>
      <xdr:row>24</xdr:row>
      <xdr:rowOff>87847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013FDBE7-746C-4BD8-AEAF-26175A080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608943</xdr:colOff>
      <xdr:row>1</xdr:row>
      <xdr:rowOff>170793</xdr:rowOff>
    </xdr:from>
    <xdr:to>
      <xdr:col>0</xdr:col>
      <xdr:colOff>1246133</xdr:colOff>
      <xdr:row>4</xdr:row>
      <xdr:rowOff>39414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28C8061C-F62B-4536-AAC7-908942D2EE75}"/>
            </a:ext>
          </a:extLst>
        </xdr:cNvPr>
        <xdr:cNvSpPr/>
      </xdr:nvSpPr>
      <xdr:spPr>
        <a:xfrm>
          <a:off x="608943" y="361293"/>
          <a:ext cx="637190" cy="512380"/>
        </a:xfrm>
        <a:prstGeom prst="ellipse">
          <a:avLst/>
        </a:prstGeom>
        <a:blipFill>
          <a:blip xmlns:r="http://schemas.openxmlformats.org/officeDocument/2006/relationships" r:embed="rId9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0</xdr:col>
      <xdr:colOff>405867</xdr:colOff>
      <xdr:row>4</xdr:row>
      <xdr:rowOff>13138</xdr:rowOff>
    </xdr:from>
    <xdr:ext cx="1003929" cy="201915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A178F48-E64C-7877-F4B0-59BC925658E1}"/>
            </a:ext>
          </a:extLst>
        </xdr:cNvPr>
        <xdr:cNvSpPr txBox="1"/>
      </xdr:nvSpPr>
      <xdr:spPr>
        <a:xfrm>
          <a:off x="405867" y="847397"/>
          <a:ext cx="1003929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700" b="1" u="sng">
              <a:solidFill>
                <a:schemeClr val="bg1">
                  <a:lumMod val="50000"/>
                </a:schemeClr>
              </a:solidFill>
            </a:rPr>
            <a:t>Welcome</a:t>
          </a:r>
          <a:r>
            <a:rPr lang="pt-BR" sz="700" b="1" u="sng" baseline="0">
              <a:solidFill>
                <a:schemeClr val="bg1">
                  <a:lumMod val="50000"/>
                </a:schemeClr>
              </a:solidFill>
            </a:rPr>
            <a:t> Mss.Cassidi</a:t>
          </a:r>
          <a:endParaRPr lang="pt-BR" sz="700" b="1" u="sng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0.11239</cdr:x>
      <cdr:y>0.12743</cdr:y>
    </cdr:from>
    <cdr:to>
      <cdr:x>0.83607</cdr:x>
      <cdr:y>0.27503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5A1B97E1-5547-A947-01A2-893957655B82}"/>
            </a:ext>
          </a:extLst>
        </cdr:cNvPr>
        <cdr:cNvSpPr/>
      </cdr:nvSpPr>
      <cdr:spPr>
        <a:xfrm xmlns:a="http://schemas.openxmlformats.org/drawingml/2006/main">
          <a:off x="979488" y="205581"/>
          <a:ext cx="6307138" cy="238125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050"/>
            <a:t>Xbox Game Pass Revenue by Auto-Renewal Status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0.20985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1AFDEDB8-A622-67DB-49CD-609B28B41472}"/>
            </a:ext>
          </a:extLst>
        </cdr:cNvPr>
        <cdr:cNvSpPr/>
      </cdr:nvSpPr>
      <cdr:spPr>
        <a:xfrm xmlns:a="http://schemas.openxmlformats.org/drawingml/2006/main">
          <a:off x="0" y="0"/>
          <a:ext cx="3637959" cy="227696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050"/>
            <a:t>Coupon Costs by Subscription Plan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n10" refreshedDate="45978.477009837959" createdVersion="8" refreshedVersion="8" minRefreshableVersion="3" recordCount="295" xr:uid="{2B166097-9ABA-4997-A2DC-15C8F1D1520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9512218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x v="0"/>
    <n v="20"/>
    <x v="0"/>
    <x v="0"/>
  </r>
  <r>
    <n v="3232"/>
    <x v="1"/>
    <x v="1"/>
    <x v="1"/>
    <x v="1"/>
    <n v="5"/>
    <x v="1"/>
    <x v="1"/>
    <x v="1"/>
    <x v="1"/>
    <n v="0"/>
    <x v="1"/>
    <x v="1"/>
  </r>
  <r>
    <n v="3233"/>
    <x v="2"/>
    <x v="2"/>
    <x v="2"/>
    <x v="0"/>
    <n v="10"/>
    <x v="2"/>
    <x v="1"/>
    <x v="1"/>
    <x v="0"/>
    <n v="20"/>
    <x v="2"/>
    <x v="2"/>
  </r>
  <r>
    <n v="3234"/>
    <x v="3"/>
    <x v="0"/>
    <x v="3"/>
    <x v="1"/>
    <n v="15"/>
    <x v="0"/>
    <x v="0"/>
    <x v="0"/>
    <x v="0"/>
    <n v="20"/>
    <x v="3"/>
    <x v="3"/>
  </r>
  <r>
    <n v="3235"/>
    <x v="4"/>
    <x v="1"/>
    <x v="4"/>
    <x v="0"/>
    <n v="5"/>
    <x v="0"/>
    <x v="1"/>
    <x v="1"/>
    <x v="1"/>
    <n v="0"/>
    <x v="4"/>
    <x v="4"/>
  </r>
  <r>
    <n v="3236"/>
    <x v="5"/>
    <x v="2"/>
    <x v="5"/>
    <x v="1"/>
    <n v="10"/>
    <x v="0"/>
    <x v="1"/>
    <x v="1"/>
    <x v="0"/>
    <n v="20"/>
    <x v="5"/>
    <x v="5"/>
  </r>
  <r>
    <n v="3237"/>
    <x v="6"/>
    <x v="0"/>
    <x v="6"/>
    <x v="0"/>
    <n v="15"/>
    <x v="2"/>
    <x v="0"/>
    <x v="0"/>
    <x v="0"/>
    <n v="20"/>
    <x v="2"/>
    <x v="6"/>
  </r>
  <r>
    <n v="3238"/>
    <x v="7"/>
    <x v="1"/>
    <x v="7"/>
    <x v="0"/>
    <n v="5"/>
    <x v="1"/>
    <x v="1"/>
    <x v="1"/>
    <x v="1"/>
    <n v="0"/>
    <x v="1"/>
    <x v="1"/>
  </r>
  <r>
    <n v="3239"/>
    <x v="8"/>
    <x v="0"/>
    <x v="4"/>
    <x v="1"/>
    <n v="15"/>
    <x v="0"/>
    <x v="0"/>
    <x v="0"/>
    <x v="0"/>
    <n v="20"/>
    <x v="0"/>
    <x v="0"/>
  </r>
  <r>
    <n v="3240"/>
    <x v="9"/>
    <x v="2"/>
    <x v="8"/>
    <x v="0"/>
    <n v="10"/>
    <x v="2"/>
    <x v="1"/>
    <x v="1"/>
    <x v="0"/>
    <n v="20"/>
    <x v="6"/>
    <x v="7"/>
  </r>
  <r>
    <n v="3241"/>
    <x v="10"/>
    <x v="1"/>
    <x v="9"/>
    <x v="1"/>
    <n v="5"/>
    <x v="0"/>
    <x v="1"/>
    <x v="1"/>
    <x v="1"/>
    <n v="0"/>
    <x v="4"/>
    <x v="4"/>
  </r>
  <r>
    <n v="3242"/>
    <x v="11"/>
    <x v="0"/>
    <x v="10"/>
    <x v="0"/>
    <n v="15"/>
    <x v="1"/>
    <x v="0"/>
    <x v="0"/>
    <x v="0"/>
    <n v="20"/>
    <x v="7"/>
    <x v="8"/>
  </r>
  <r>
    <n v="3243"/>
    <x v="12"/>
    <x v="2"/>
    <x v="11"/>
    <x v="1"/>
    <n v="10"/>
    <x v="0"/>
    <x v="1"/>
    <x v="1"/>
    <x v="0"/>
    <n v="20"/>
    <x v="2"/>
    <x v="2"/>
  </r>
  <r>
    <n v="3244"/>
    <x v="13"/>
    <x v="1"/>
    <x v="12"/>
    <x v="0"/>
    <n v="5"/>
    <x v="2"/>
    <x v="1"/>
    <x v="1"/>
    <x v="1"/>
    <n v="0"/>
    <x v="1"/>
    <x v="1"/>
  </r>
  <r>
    <n v="3245"/>
    <x v="14"/>
    <x v="0"/>
    <x v="13"/>
    <x v="1"/>
    <n v="15"/>
    <x v="0"/>
    <x v="0"/>
    <x v="0"/>
    <x v="0"/>
    <n v="20"/>
    <x v="8"/>
    <x v="9"/>
  </r>
  <r>
    <n v="3246"/>
    <x v="15"/>
    <x v="2"/>
    <x v="14"/>
    <x v="0"/>
    <n v="10"/>
    <x v="1"/>
    <x v="1"/>
    <x v="1"/>
    <x v="0"/>
    <n v="20"/>
    <x v="9"/>
    <x v="10"/>
  </r>
  <r>
    <n v="3247"/>
    <x v="16"/>
    <x v="1"/>
    <x v="15"/>
    <x v="1"/>
    <n v="5"/>
    <x v="0"/>
    <x v="1"/>
    <x v="1"/>
    <x v="1"/>
    <n v="0"/>
    <x v="5"/>
    <x v="11"/>
  </r>
  <r>
    <n v="3248"/>
    <x v="17"/>
    <x v="0"/>
    <x v="16"/>
    <x v="0"/>
    <n v="15"/>
    <x v="2"/>
    <x v="0"/>
    <x v="0"/>
    <x v="0"/>
    <n v="20"/>
    <x v="10"/>
    <x v="12"/>
  </r>
  <r>
    <n v="3249"/>
    <x v="18"/>
    <x v="2"/>
    <x v="17"/>
    <x v="1"/>
    <n v="10"/>
    <x v="0"/>
    <x v="1"/>
    <x v="1"/>
    <x v="0"/>
    <n v="20"/>
    <x v="0"/>
    <x v="13"/>
  </r>
  <r>
    <n v="3250"/>
    <x v="19"/>
    <x v="1"/>
    <x v="18"/>
    <x v="0"/>
    <n v="5"/>
    <x v="1"/>
    <x v="1"/>
    <x v="1"/>
    <x v="1"/>
    <n v="0"/>
    <x v="1"/>
    <x v="1"/>
  </r>
  <r>
    <n v="3251"/>
    <x v="20"/>
    <x v="0"/>
    <x v="19"/>
    <x v="1"/>
    <n v="15"/>
    <x v="0"/>
    <x v="0"/>
    <x v="0"/>
    <x v="0"/>
    <n v="20"/>
    <x v="3"/>
    <x v="3"/>
  </r>
  <r>
    <n v="3252"/>
    <x v="21"/>
    <x v="2"/>
    <x v="20"/>
    <x v="0"/>
    <n v="10"/>
    <x v="2"/>
    <x v="1"/>
    <x v="1"/>
    <x v="0"/>
    <n v="20"/>
    <x v="6"/>
    <x v="7"/>
  </r>
  <r>
    <n v="3253"/>
    <x v="22"/>
    <x v="1"/>
    <x v="21"/>
    <x v="1"/>
    <n v="5"/>
    <x v="0"/>
    <x v="1"/>
    <x v="1"/>
    <x v="1"/>
    <n v="0"/>
    <x v="4"/>
    <x v="4"/>
  </r>
  <r>
    <n v="3254"/>
    <x v="23"/>
    <x v="0"/>
    <x v="22"/>
    <x v="0"/>
    <n v="15"/>
    <x v="1"/>
    <x v="0"/>
    <x v="0"/>
    <x v="0"/>
    <n v="20"/>
    <x v="7"/>
    <x v="8"/>
  </r>
  <r>
    <n v="3255"/>
    <x v="24"/>
    <x v="2"/>
    <x v="23"/>
    <x v="1"/>
    <n v="10"/>
    <x v="0"/>
    <x v="1"/>
    <x v="1"/>
    <x v="0"/>
    <n v="20"/>
    <x v="2"/>
    <x v="2"/>
  </r>
  <r>
    <n v="3256"/>
    <x v="25"/>
    <x v="1"/>
    <x v="24"/>
    <x v="0"/>
    <n v="5"/>
    <x v="2"/>
    <x v="1"/>
    <x v="1"/>
    <x v="1"/>
    <n v="0"/>
    <x v="1"/>
    <x v="1"/>
  </r>
  <r>
    <n v="3257"/>
    <x v="26"/>
    <x v="0"/>
    <x v="25"/>
    <x v="1"/>
    <n v="15"/>
    <x v="0"/>
    <x v="0"/>
    <x v="0"/>
    <x v="0"/>
    <n v="20"/>
    <x v="0"/>
    <x v="0"/>
  </r>
  <r>
    <n v="3258"/>
    <x v="27"/>
    <x v="2"/>
    <x v="26"/>
    <x v="0"/>
    <n v="10"/>
    <x v="1"/>
    <x v="1"/>
    <x v="1"/>
    <x v="0"/>
    <n v="20"/>
    <x v="6"/>
    <x v="7"/>
  </r>
  <r>
    <n v="3259"/>
    <x v="28"/>
    <x v="1"/>
    <x v="27"/>
    <x v="1"/>
    <n v="5"/>
    <x v="0"/>
    <x v="1"/>
    <x v="1"/>
    <x v="1"/>
    <n v="0"/>
    <x v="4"/>
    <x v="4"/>
  </r>
  <r>
    <n v="3260"/>
    <x v="29"/>
    <x v="0"/>
    <x v="28"/>
    <x v="0"/>
    <n v="15"/>
    <x v="2"/>
    <x v="0"/>
    <x v="0"/>
    <x v="0"/>
    <n v="20"/>
    <x v="10"/>
    <x v="12"/>
  </r>
  <r>
    <n v="3261"/>
    <x v="30"/>
    <x v="2"/>
    <x v="29"/>
    <x v="1"/>
    <n v="10"/>
    <x v="0"/>
    <x v="1"/>
    <x v="1"/>
    <x v="0"/>
    <n v="20"/>
    <x v="2"/>
    <x v="2"/>
  </r>
  <r>
    <n v="3262"/>
    <x v="31"/>
    <x v="1"/>
    <x v="30"/>
    <x v="0"/>
    <n v="5"/>
    <x v="1"/>
    <x v="1"/>
    <x v="1"/>
    <x v="1"/>
    <n v="0"/>
    <x v="1"/>
    <x v="1"/>
  </r>
  <r>
    <n v="3263"/>
    <x v="32"/>
    <x v="0"/>
    <x v="31"/>
    <x v="1"/>
    <n v="15"/>
    <x v="0"/>
    <x v="0"/>
    <x v="0"/>
    <x v="0"/>
    <n v="20"/>
    <x v="3"/>
    <x v="3"/>
  </r>
  <r>
    <n v="3264"/>
    <x v="33"/>
    <x v="2"/>
    <x v="32"/>
    <x v="0"/>
    <n v="10"/>
    <x v="2"/>
    <x v="1"/>
    <x v="1"/>
    <x v="0"/>
    <n v="20"/>
    <x v="6"/>
    <x v="7"/>
  </r>
  <r>
    <n v="3265"/>
    <x v="34"/>
    <x v="1"/>
    <x v="33"/>
    <x v="1"/>
    <n v="5"/>
    <x v="0"/>
    <x v="1"/>
    <x v="1"/>
    <x v="1"/>
    <n v="0"/>
    <x v="4"/>
    <x v="4"/>
  </r>
  <r>
    <n v="3266"/>
    <x v="35"/>
    <x v="1"/>
    <x v="34"/>
    <x v="0"/>
    <n v="5"/>
    <x v="0"/>
    <x v="1"/>
    <x v="1"/>
    <x v="1"/>
    <n v="0"/>
    <x v="1"/>
    <x v="1"/>
  </r>
  <r>
    <n v="3267"/>
    <x v="36"/>
    <x v="0"/>
    <x v="35"/>
    <x v="1"/>
    <n v="15"/>
    <x v="2"/>
    <x v="0"/>
    <x v="0"/>
    <x v="0"/>
    <n v="20"/>
    <x v="10"/>
    <x v="12"/>
  </r>
  <r>
    <n v="3268"/>
    <x v="37"/>
    <x v="2"/>
    <x v="36"/>
    <x v="0"/>
    <n v="10"/>
    <x v="1"/>
    <x v="1"/>
    <x v="1"/>
    <x v="0"/>
    <n v="20"/>
    <x v="2"/>
    <x v="2"/>
  </r>
  <r>
    <n v="3269"/>
    <x v="38"/>
    <x v="1"/>
    <x v="37"/>
    <x v="1"/>
    <n v="5"/>
    <x v="2"/>
    <x v="1"/>
    <x v="1"/>
    <x v="1"/>
    <n v="0"/>
    <x v="4"/>
    <x v="4"/>
  </r>
  <r>
    <n v="3270"/>
    <x v="39"/>
    <x v="0"/>
    <x v="38"/>
    <x v="0"/>
    <n v="15"/>
    <x v="0"/>
    <x v="0"/>
    <x v="0"/>
    <x v="0"/>
    <n v="20"/>
    <x v="6"/>
    <x v="14"/>
  </r>
  <r>
    <n v="3271"/>
    <x v="40"/>
    <x v="2"/>
    <x v="39"/>
    <x v="1"/>
    <n v="10"/>
    <x v="0"/>
    <x v="1"/>
    <x v="1"/>
    <x v="0"/>
    <n v="20"/>
    <x v="0"/>
    <x v="13"/>
  </r>
  <r>
    <n v="3272"/>
    <x v="41"/>
    <x v="1"/>
    <x v="40"/>
    <x v="0"/>
    <n v="5"/>
    <x v="1"/>
    <x v="1"/>
    <x v="1"/>
    <x v="1"/>
    <n v="0"/>
    <x v="1"/>
    <x v="1"/>
  </r>
  <r>
    <n v="3273"/>
    <x v="42"/>
    <x v="0"/>
    <x v="41"/>
    <x v="1"/>
    <n v="15"/>
    <x v="2"/>
    <x v="0"/>
    <x v="0"/>
    <x v="0"/>
    <n v="20"/>
    <x v="7"/>
    <x v="8"/>
  </r>
  <r>
    <n v="3274"/>
    <x v="43"/>
    <x v="2"/>
    <x v="42"/>
    <x v="0"/>
    <n v="10"/>
    <x v="2"/>
    <x v="1"/>
    <x v="1"/>
    <x v="0"/>
    <n v="20"/>
    <x v="9"/>
    <x v="10"/>
  </r>
  <r>
    <n v="3275"/>
    <x v="44"/>
    <x v="1"/>
    <x v="43"/>
    <x v="1"/>
    <n v="5"/>
    <x v="0"/>
    <x v="1"/>
    <x v="1"/>
    <x v="1"/>
    <n v="0"/>
    <x v="5"/>
    <x v="11"/>
  </r>
  <r>
    <n v="3276"/>
    <x v="45"/>
    <x v="0"/>
    <x v="44"/>
    <x v="0"/>
    <n v="15"/>
    <x v="1"/>
    <x v="0"/>
    <x v="0"/>
    <x v="0"/>
    <n v="20"/>
    <x v="0"/>
    <x v="0"/>
  </r>
  <r>
    <n v="3277"/>
    <x v="46"/>
    <x v="2"/>
    <x v="45"/>
    <x v="1"/>
    <n v="10"/>
    <x v="0"/>
    <x v="1"/>
    <x v="1"/>
    <x v="0"/>
    <n v="20"/>
    <x v="2"/>
    <x v="2"/>
  </r>
  <r>
    <n v="3278"/>
    <x v="47"/>
    <x v="1"/>
    <x v="46"/>
    <x v="0"/>
    <n v="5"/>
    <x v="2"/>
    <x v="1"/>
    <x v="1"/>
    <x v="1"/>
    <n v="0"/>
    <x v="1"/>
    <x v="1"/>
  </r>
  <r>
    <n v="3279"/>
    <x v="48"/>
    <x v="0"/>
    <x v="47"/>
    <x v="1"/>
    <n v="15"/>
    <x v="0"/>
    <x v="0"/>
    <x v="0"/>
    <x v="0"/>
    <n v="20"/>
    <x v="3"/>
    <x v="3"/>
  </r>
  <r>
    <n v="3280"/>
    <x v="49"/>
    <x v="2"/>
    <x v="48"/>
    <x v="0"/>
    <n v="10"/>
    <x v="1"/>
    <x v="1"/>
    <x v="1"/>
    <x v="0"/>
    <n v="20"/>
    <x v="6"/>
    <x v="7"/>
  </r>
  <r>
    <n v="3281"/>
    <x v="50"/>
    <x v="1"/>
    <x v="49"/>
    <x v="1"/>
    <n v="5"/>
    <x v="0"/>
    <x v="1"/>
    <x v="1"/>
    <x v="1"/>
    <n v="0"/>
    <x v="4"/>
    <x v="4"/>
  </r>
  <r>
    <n v="3282"/>
    <x v="51"/>
    <x v="0"/>
    <x v="50"/>
    <x v="0"/>
    <n v="15"/>
    <x v="2"/>
    <x v="0"/>
    <x v="0"/>
    <x v="0"/>
    <n v="20"/>
    <x v="10"/>
    <x v="12"/>
  </r>
  <r>
    <n v="3283"/>
    <x v="52"/>
    <x v="2"/>
    <x v="51"/>
    <x v="1"/>
    <n v="10"/>
    <x v="0"/>
    <x v="1"/>
    <x v="1"/>
    <x v="0"/>
    <n v="20"/>
    <x v="2"/>
    <x v="2"/>
  </r>
  <r>
    <n v="3284"/>
    <x v="53"/>
    <x v="1"/>
    <x v="52"/>
    <x v="0"/>
    <n v="5"/>
    <x v="1"/>
    <x v="1"/>
    <x v="1"/>
    <x v="1"/>
    <n v="0"/>
    <x v="1"/>
    <x v="1"/>
  </r>
  <r>
    <n v="3285"/>
    <x v="54"/>
    <x v="0"/>
    <x v="53"/>
    <x v="1"/>
    <n v="15"/>
    <x v="0"/>
    <x v="0"/>
    <x v="0"/>
    <x v="0"/>
    <n v="20"/>
    <x v="7"/>
    <x v="8"/>
  </r>
  <r>
    <n v="3286"/>
    <x v="55"/>
    <x v="2"/>
    <x v="54"/>
    <x v="0"/>
    <n v="10"/>
    <x v="2"/>
    <x v="1"/>
    <x v="1"/>
    <x v="0"/>
    <n v="20"/>
    <x v="6"/>
    <x v="7"/>
  </r>
  <r>
    <n v="3287"/>
    <x v="56"/>
    <x v="1"/>
    <x v="55"/>
    <x v="1"/>
    <n v="5"/>
    <x v="0"/>
    <x v="1"/>
    <x v="1"/>
    <x v="1"/>
    <n v="0"/>
    <x v="4"/>
    <x v="4"/>
  </r>
  <r>
    <n v="3288"/>
    <x v="57"/>
    <x v="0"/>
    <x v="56"/>
    <x v="0"/>
    <n v="15"/>
    <x v="1"/>
    <x v="0"/>
    <x v="0"/>
    <x v="0"/>
    <n v="20"/>
    <x v="3"/>
    <x v="3"/>
  </r>
  <r>
    <n v="3289"/>
    <x v="58"/>
    <x v="2"/>
    <x v="57"/>
    <x v="1"/>
    <n v="10"/>
    <x v="0"/>
    <x v="1"/>
    <x v="1"/>
    <x v="0"/>
    <n v="20"/>
    <x v="2"/>
    <x v="2"/>
  </r>
  <r>
    <n v="3290"/>
    <x v="59"/>
    <x v="1"/>
    <x v="58"/>
    <x v="0"/>
    <n v="5"/>
    <x v="2"/>
    <x v="1"/>
    <x v="1"/>
    <x v="1"/>
    <n v="0"/>
    <x v="1"/>
    <x v="1"/>
  </r>
  <r>
    <n v="3291"/>
    <x v="60"/>
    <x v="0"/>
    <x v="59"/>
    <x v="1"/>
    <n v="15"/>
    <x v="0"/>
    <x v="0"/>
    <x v="0"/>
    <x v="0"/>
    <n v="20"/>
    <x v="0"/>
    <x v="0"/>
  </r>
  <r>
    <n v="3292"/>
    <x v="61"/>
    <x v="2"/>
    <x v="60"/>
    <x v="0"/>
    <n v="10"/>
    <x v="1"/>
    <x v="1"/>
    <x v="1"/>
    <x v="0"/>
    <n v="20"/>
    <x v="6"/>
    <x v="7"/>
  </r>
  <r>
    <n v="3293"/>
    <x v="62"/>
    <x v="1"/>
    <x v="61"/>
    <x v="1"/>
    <n v="5"/>
    <x v="0"/>
    <x v="1"/>
    <x v="1"/>
    <x v="1"/>
    <n v="0"/>
    <x v="4"/>
    <x v="4"/>
  </r>
  <r>
    <n v="3294"/>
    <x v="63"/>
    <x v="0"/>
    <x v="62"/>
    <x v="0"/>
    <n v="15"/>
    <x v="2"/>
    <x v="0"/>
    <x v="0"/>
    <x v="0"/>
    <n v="20"/>
    <x v="7"/>
    <x v="8"/>
  </r>
  <r>
    <n v="3295"/>
    <x v="64"/>
    <x v="2"/>
    <x v="63"/>
    <x v="1"/>
    <n v="10"/>
    <x v="0"/>
    <x v="1"/>
    <x v="1"/>
    <x v="0"/>
    <n v="20"/>
    <x v="0"/>
    <x v="13"/>
  </r>
  <r>
    <n v="3296"/>
    <x v="65"/>
    <x v="1"/>
    <x v="64"/>
    <x v="1"/>
    <n v="5"/>
    <x v="0"/>
    <x v="1"/>
    <x v="1"/>
    <x v="1"/>
    <n v="0"/>
    <x v="1"/>
    <x v="1"/>
  </r>
  <r>
    <n v="3297"/>
    <x v="66"/>
    <x v="0"/>
    <x v="65"/>
    <x v="0"/>
    <n v="15"/>
    <x v="2"/>
    <x v="0"/>
    <x v="0"/>
    <x v="0"/>
    <n v="20"/>
    <x v="10"/>
    <x v="12"/>
  </r>
  <r>
    <n v="3298"/>
    <x v="67"/>
    <x v="2"/>
    <x v="66"/>
    <x v="1"/>
    <n v="10"/>
    <x v="1"/>
    <x v="1"/>
    <x v="1"/>
    <x v="0"/>
    <n v="20"/>
    <x v="2"/>
    <x v="2"/>
  </r>
  <r>
    <n v="3299"/>
    <x v="68"/>
    <x v="1"/>
    <x v="67"/>
    <x v="0"/>
    <n v="5"/>
    <x v="2"/>
    <x v="1"/>
    <x v="1"/>
    <x v="1"/>
    <n v="0"/>
    <x v="4"/>
    <x v="4"/>
  </r>
  <r>
    <n v="3300"/>
    <x v="69"/>
    <x v="0"/>
    <x v="68"/>
    <x v="1"/>
    <n v="15"/>
    <x v="0"/>
    <x v="0"/>
    <x v="0"/>
    <x v="0"/>
    <n v="20"/>
    <x v="6"/>
    <x v="14"/>
  </r>
  <r>
    <n v="3301"/>
    <x v="70"/>
    <x v="2"/>
    <x v="69"/>
    <x v="0"/>
    <n v="10"/>
    <x v="0"/>
    <x v="1"/>
    <x v="1"/>
    <x v="0"/>
    <n v="20"/>
    <x v="0"/>
    <x v="13"/>
  </r>
  <r>
    <n v="3302"/>
    <x v="71"/>
    <x v="1"/>
    <x v="70"/>
    <x v="1"/>
    <n v="5"/>
    <x v="1"/>
    <x v="1"/>
    <x v="1"/>
    <x v="1"/>
    <n v="0"/>
    <x v="1"/>
    <x v="1"/>
  </r>
  <r>
    <n v="3303"/>
    <x v="72"/>
    <x v="0"/>
    <x v="71"/>
    <x v="0"/>
    <n v="15"/>
    <x v="2"/>
    <x v="0"/>
    <x v="0"/>
    <x v="0"/>
    <n v="20"/>
    <x v="7"/>
    <x v="8"/>
  </r>
  <r>
    <n v="3304"/>
    <x v="73"/>
    <x v="2"/>
    <x v="72"/>
    <x v="1"/>
    <n v="10"/>
    <x v="2"/>
    <x v="1"/>
    <x v="1"/>
    <x v="0"/>
    <n v="20"/>
    <x v="9"/>
    <x v="10"/>
  </r>
  <r>
    <n v="3305"/>
    <x v="74"/>
    <x v="1"/>
    <x v="73"/>
    <x v="0"/>
    <n v="5"/>
    <x v="0"/>
    <x v="1"/>
    <x v="1"/>
    <x v="1"/>
    <n v="0"/>
    <x v="5"/>
    <x v="11"/>
  </r>
  <r>
    <n v="3306"/>
    <x v="75"/>
    <x v="0"/>
    <x v="74"/>
    <x v="1"/>
    <n v="15"/>
    <x v="1"/>
    <x v="0"/>
    <x v="0"/>
    <x v="0"/>
    <n v="20"/>
    <x v="0"/>
    <x v="0"/>
  </r>
  <r>
    <n v="3307"/>
    <x v="76"/>
    <x v="2"/>
    <x v="75"/>
    <x v="0"/>
    <n v="10"/>
    <x v="0"/>
    <x v="1"/>
    <x v="1"/>
    <x v="0"/>
    <n v="20"/>
    <x v="2"/>
    <x v="2"/>
  </r>
  <r>
    <n v="3308"/>
    <x v="77"/>
    <x v="1"/>
    <x v="76"/>
    <x v="1"/>
    <n v="5"/>
    <x v="2"/>
    <x v="1"/>
    <x v="1"/>
    <x v="1"/>
    <n v="0"/>
    <x v="1"/>
    <x v="1"/>
  </r>
  <r>
    <n v="3309"/>
    <x v="78"/>
    <x v="0"/>
    <x v="77"/>
    <x v="0"/>
    <n v="15"/>
    <x v="0"/>
    <x v="0"/>
    <x v="0"/>
    <x v="0"/>
    <n v="20"/>
    <x v="3"/>
    <x v="3"/>
  </r>
  <r>
    <n v="3310"/>
    <x v="79"/>
    <x v="2"/>
    <x v="78"/>
    <x v="1"/>
    <n v="10"/>
    <x v="1"/>
    <x v="1"/>
    <x v="1"/>
    <x v="0"/>
    <n v="20"/>
    <x v="6"/>
    <x v="7"/>
  </r>
  <r>
    <n v="3311"/>
    <x v="80"/>
    <x v="1"/>
    <x v="79"/>
    <x v="0"/>
    <n v="5"/>
    <x v="0"/>
    <x v="1"/>
    <x v="1"/>
    <x v="1"/>
    <n v="0"/>
    <x v="4"/>
    <x v="4"/>
  </r>
  <r>
    <n v="3312"/>
    <x v="81"/>
    <x v="0"/>
    <x v="80"/>
    <x v="1"/>
    <n v="15"/>
    <x v="2"/>
    <x v="0"/>
    <x v="0"/>
    <x v="0"/>
    <n v="20"/>
    <x v="10"/>
    <x v="12"/>
  </r>
  <r>
    <n v="3313"/>
    <x v="82"/>
    <x v="2"/>
    <x v="81"/>
    <x v="0"/>
    <n v="10"/>
    <x v="0"/>
    <x v="1"/>
    <x v="1"/>
    <x v="0"/>
    <n v="20"/>
    <x v="2"/>
    <x v="2"/>
  </r>
  <r>
    <n v="3314"/>
    <x v="83"/>
    <x v="1"/>
    <x v="82"/>
    <x v="1"/>
    <n v="5"/>
    <x v="1"/>
    <x v="1"/>
    <x v="1"/>
    <x v="1"/>
    <n v="0"/>
    <x v="1"/>
    <x v="1"/>
  </r>
  <r>
    <n v="3315"/>
    <x v="84"/>
    <x v="0"/>
    <x v="83"/>
    <x v="0"/>
    <n v="15"/>
    <x v="0"/>
    <x v="0"/>
    <x v="0"/>
    <x v="0"/>
    <n v="20"/>
    <x v="7"/>
    <x v="8"/>
  </r>
  <r>
    <n v="3316"/>
    <x v="85"/>
    <x v="2"/>
    <x v="84"/>
    <x v="1"/>
    <n v="10"/>
    <x v="2"/>
    <x v="1"/>
    <x v="1"/>
    <x v="0"/>
    <n v="20"/>
    <x v="6"/>
    <x v="7"/>
  </r>
  <r>
    <n v="3317"/>
    <x v="86"/>
    <x v="1"/>
    <x v="85"/>
    <x v="0"/>
    <n v="5"/>
    <x v="0"/>
    <x v="1"/>
    <x v="1"/>
    <x v="1"/>
    <n v="0"/>
    <x v="4"/>
    <x v="4"/>
  </r>
  <r>
    <n v="3318"/>
    <x v="87"/>
    <x v="0"/>
    <x v="86"/>
    <x v="1"/>
    <n v="15"/>
    <x v="1"/>
    <x v="0"/>
    <x v="0"/>
    <x v="0"/>
    <n v="20"/>
    <x v="3"/>
    <x v="3"/>
  </r>
  <r>
    <n v="3319"/>
    <x v="88"/>
    <x v="2"/>
    <x v="87"/>
    <x v="0"/>
    <n v="10"/>
    <x v="0"/>
    <x v="1"/>
    <x v="1"/>
    <x v="0"/>
    <n v="20"/>
    <x v="2"/>
    <x v="2"/>
  </r>
  <r>
    <n v="3320"/>
    <x v="89"/>
    <x v="1"/>
    <x v="88"/>
    <x v="1"/>
    <n v="5"/>
    <x v="2"/>
    <x v="1"/>
    <x v="1"/>
    <x v="1"/>
    <n v="0"/>
    <x v="1"/>
    <x v="1"/>
  </r>
  <r>
    <n v="3321"/>
    <x v="90"/>
    <x v="0"/>
    <x v="89"/>
    <x v="0"/>
    <n v="15"/>
    <x v="0"/>
    <x v="0"/>
    <x v="0"/>
    <x v="0"/>
    <n v="20"/>
    <x v="0"/>
    <x v="0"/>
  </r>
  <r>
    <n v="3322"/>
    <x v="91"/>
    <x v="2"/>
    <x v="90"/>
    <x v="1"/>
    <n v="10"/>
    <x v="1"/>
    <x v="1"/>
    <x v="1"/>
    <x v="0"/>
    <n v="20"/>
    <x v="6"/>
    <x v="7"/>
  </r>
  <r>
    <n v="3323"/>
    <x v="92"/>
    <x v="1"/>
    <x v="91"/>
    <x v="0"/>
    <n v="5"/>
    <x v="0"/>
    <x v="1"/>
    <x v="1"/>
    <x v="1"/>
    <n v="0"/>
    <x v="4"/>
    <x v="4"/>
  </r>
  <r>
    <n v="3324"/>
    <x v="93"/>
    <x v="0"/>
    <x v="92"/>
    <x v="1"/>
    <n v="15"/>
    <x v="2"/>
    <x v="0"/>
    <x v="0"/>
    <x v="0"/>
    <n v="20"/>
    <x v="7"/>
    <x v="8"/>
  </r>
  <r>
    <n v="3325"/>
    <x v="94"/>
    <x v="2"/>
    <x v="93"/>
    <x v="0"/>
    <n v="10"/>
    <x v="2"/>
    <x v="1"/>
    <x v="1"/>
    <x v="0"/>
    <n v="20"/>
    <x v="6"/>
    <x v="7"/>
  </r>
  <r>
    <n v="3326"/>
    <x v="95"/>
    <x v="1"/>
    <x v="94"/>
    <x v="1"/>
    <n v="5"/>
    <x v="1"/>
    <x v="1"/>
    <x v="1"/>
    <x v="1"/>
    <n v="0"/>
    <x v="1"/>
    <x v="1"/>
  </r>
  <r>
    <n v="3327"/>
    <x v="96"/>
    <x v="0"/>
    <x v="95"/>
    <x v="0"/>
    <n v="15"/>
    <x v="0"/>
    <x v="0"/>
    <x v="0"/>
    <x v="0"/>
    <n v="20"/>
    <x v="10"/>
    <x v="12"/>
  </r>
  <r>
    <n v="3328"/>
    <x v="97"/>
    <x v="2"/>
    <x v="96"/>
    <x v="1"/>
    <n v="10"/>
    <x v="1"/>
    <x v="1"/>
    <x v="1"/>
    <x v="0"/>
    <n v="20"/>
    <x v="2"/>
    <x v="2"/>
  </r>
  <r>
    <n v="3329"/>
    <x v="98"/>
    <x v="1"/>
    <x v="97"/>
    <x v="0"/>
    <n v="5"/>
    <x v="2"/>
    <x v="1"/>
    <x v="1"/>
    <x v="1"/>
    <n v="0"/>
    <x v="4"/>
    <x v="4"/>
  </r>
  <r>
    <n v="3330"/>
    <x v="99"/>
    <x v="0"/>
    <x v="98"/>
    <x v="1"/>
    <n v="15"/>
    <x v="0"/>
    <x v="0"/>
    <x v="0"/>
    <x v="0"/>
    <n v="20"/>
    <x v="6"/>
    <x v="14"/>
  </r>
  <r>
    <n v="3331"/>
    <x v="100"/>
    <x v="2"/>
    <x v="99"/>
    <x v="0"/>
    <n v="10"/>
    <x v="0"/>
    <x v="1"/>
    <x v="1"/>
    <x v="0"/>
    <n v="20"/>
    <x v="0"/>
    <x v="13"/>
  </r>
  <r>
    <n v="3332"/>
    <x v="101"/>
    <x v="1"/>
    <x v="100"/>
    <x v="1"/>
    <n v="5"/>
    <x v="1"/>
    <x v="1"/>
    <x v="1"/>
    <x v="1"/>
    <n v="0"/>
    <x v="1"/>
    <x v="1"/>
  </r>
  <r>
    <n v="3333"/>
    <x v="102"/>
    <x v="0"/>
    <x v="101"/>
    <x v="0"/>
    <n v="15"/>
    <x v="2"/>
    <x v="0"/>
    <x v="0"/>
    <x v="0"/>
    <n v="20"/>
    <x v="7"/>
    <x v="8"/>
  </r>
  <r>
    <n v="3334"/>
    <x v="103"/>
    <x v="2"/>
    <x v="102"/>
    <x v="1"/>
    <n v="10"/>
    <x v="2"/>
    <x v="1"/>
    <x v="1"/>
    <x v="0"/>
    <n v="20"/>
    <x v="9"/>
    <x v="10"/>
  </r>
  <r>
    <n v="3335"/>
    <x v="104"/>
    <x v="1"/>
    <x v="103"/>
    <x v="0"/>
    <n v="5"/>
    <x v="0"/>
    <x v="1"/>
    <x v="1"/>
    <x v="1"/>
    <n v="0"/>
    <x v="5"/>
    <x v="11"/>
  </r>
  <r>
    <n v="3336"/>
    <x v="105"/>
    <x v="1"/>
    <x v="104"/>
    <x v="0"/>
    <n v="5"/>
    <x v="0"/>
    <x v="1"/>
    <x v="1"/>
    <x v="1"/>
    <n v="0"/>
    <x v="1"/>
    <x v="1"/>
  </r>
  <r>
    <n v="3337"/>
    <x v="106"/>
    <x v="0"/>
    <x v="105"/>
    <x v="1"/>
    <n v="15"/>
    <x v="2"/>
    <x v="0"/>
    <x v="0"/>
    <x v="0"/>
    <n v="20"/>
    <x v="10"/>
    <x v="12"/>
  </r>
  <r>
    <n v="3338"/>
    <x v="107"/>
    <x v="2"/>
    <x v="106"/>
    <x v="0"/>
    <n v="10"/>
    <x v="1"/>
    <x v="1"/>
    <x v="1"/>
    <x v="0"/>
    <n v="20"/>
    <x v="2"/>
    <x v="2"/>
  </r>
  <r>
    <n v="3339"/>
    <x v="108"/>
    <x v="1"/>
    <x v="107"/>
    <x v="1"/>
    <n v="5"/>
    <x v="2"/>
    <x v="1"/>
    <x v="1"/>
    <x v="1"/>
    <n v="0"/>
    <x v="4"/>
    <x v="4"/>
  </r>
  <r>
    <n v="3340"/>
    <x v="109"/>
    <x v="0"/>
    <x v="108"/>
    <x v="0"/>
    <n v="15"/>
    <x v="0"/>
    <x v="0"/>
    <x v="0"/>
    <x v="0"/>
    <n v="20"/>
    <x v="6"/>
    <x v="14"/>
  </r>
  <r>
    <n v="3341"/>
    <x v="110"/>
    <x v="2"/>
    <x v="109"/>
    <x v="1"/>
    <n v="10"/>
    <x v="0"/>
    <x v="1"/>
    <x v="1"/>
    <x v="0"/>
    <n v="20"/>
    <x v="0"/>
    <x v="13"/>
  </r>
  <r>
    <n v="3342"/>
    <x v="111"/>
    <x v="1"/>
    <x v="110"/>
    <x v="0"/>
    <n v="5"/>
    <x v="1"/>
    <x v="1"/>
    <x v="1"/>
    <x v="1"/>
    <n v="0"/>
    <x v="1"/>
    <x v="1"/>
  </r>
  <r>
    <n v="3343"/>
    <x v="112"/>
    <x v="0"/>
    <x v="111"/>
    <x v="1"/>
    <n v="15"/>
    <x v="2"/>
    <x v="0"/>
    <x v="0"/>
    <x v="0"/>
    <n v="20"/>
    <x v="7"/>
    <x v="8"/>
  </r>
  <r>
    <n v="3344"/>
    <x v="113"/>
    <x v="2"/>
    <x v="112"/>
    <x v="0"/>
    <n v="10"/>
    <x v="2"/>
    <x v="1"/>
    <x v="1"/>
    <x v="0"/>
    <n v="20"/>
    <x v="9"/>
    <x v="10"/>
  </r>
  <r>
    <n v="3345"/>
    <x v="114"/>
    <x v="1"/>
    <x v="113"/>
    <x v="1"/>
    <n v="5"/>
    <x v="0"/>
    <x v="1"/>
    <x v="1"/>
    <x v="1"/>
    <n v="0"/>
    <x v="5"/>
    <x v="11"/>
  </r>
  <r>
    <n v="3346"/>
    <x v="115"/>
    <x v="0"/>
    <x v="114"/>
    <x v="0"/>
    <n v="15"/>
    <x v="1"/>
    <x v="0"/>
    <x v="0"/>
    <x v="0"/>
    <n v="20"/>
    <x v="0"/>
    <x v="0"/>
  </r>
  <r>
    <n v="3347"/>
    <x v="116"/>
    <x v="2"/>
    <x v="115"/>
    <x v="1"/>
    <n v="10"/>
    <x v="0"/>
    <x v="1"/>
    <x v="1"/>
    <x v="0"/>
    <n v="20"/>
    <x v="2"/>
    <x v="2"/>
  </r>
  <r>
    <n v="3348"/>
    <x v="117"/>
    <x v="1"/>
    <x v="116"/>
    <x v="0"/>
    <n v="5"/>
    <x v="2"/>
    <x v="1"/>
    <x v="1"/>
    <x v="1"/>
    <n v="0"/>
    <x v="1"/>
    <x v="1"/>
  </r>
  <r>
    <n v="3349"/>
    <x v="93"/>
    <x v="0"/>
    <x v="117"/>
    <x v="1"/>
    <n v="15"/>
    <x v="0"/>
    <x v="0"/>
    <x v="0"/>
    <x v="0"/>
    <n v="20"/>
    <x v="3"/>
    <x v="3"/>
  </r>
  <r>
    <n v="3350"/>
    <x v="118"/>
    <x v="2"/>
    <x v="118"/>
    <x v="0"/>
    <n v="10"/>
    <x v="1"/>
    <x v="1"/>
    <x v="1"/>
    <x v="0"/>
    <n v="20"/>
    <x v="6"/>
    <x v="7"/>
  </r>
  <r>
    <n v="3351"/>
    <x v="119"/>
    <x v="1"/>
    <x v="119"/>
    <x v="1"/>
    <n v="5"/>
    <x v="0"/>
    <x v="1"/>
    <x v="1"/>
    <x v="1"/>
    <n v="0"/>
    <x v="4"/>
    <x v="4"/>
  </r>
  <r>
    <n v="3352"/>
    <x v="120"/>
    <x v="0"/>
    <x v="120"/>
    <x v="0"/>
    <n v="15"/>
    <x v="2"/>
    <x v="0"/>
    <x v="0"/>
    <x v="0"/>
    <n v="20"/>
    <x v="10"/>
    <x v="12"/>
  </r>
  <r>
    <n v="3353"/>
    <x v="121"/>
    <x v="2"/>
    <x v="121"/>
    <x v="1"/>
    <n v="10"/>
    <x v="0"/>
    <x v="1"/>
    <x v="1"/>
    <x v="0"/>
    <n v="20"/>
    <x v="2"/>
    <x v="2"/>
  </r>
  <r>
    <n v="3354"/>
    <x v="122"/>
    <x v="1"/>
    <x v="122"/>
    <x v="0"/>
    <n v="5"/>
    <x v="1"/>
    <x v="1"/>
    <x v="1"/>
    <x v="1"/>
    <n v="0"/>
    <x v="1"/>
    <x v="1"/>
  </r>
  <r>
    <n v="3355"/>
    <x v="123"/>
    <x v="0"/>
    <x v="123"/>
    <x v="1"/>
    <n v="15"/>
    <x v="0"/>
    <x v="0"/>
    <x v="0"/>
    <x v="0"/>
    <n v="20"/>
    <x v="7"/>
    <x v="8"/>
  </r>
  <r>
    <n v="3356"/>
    <x v="124"/>
    <x v="2"/>
    <x v="124"/>
    <x v="0"/>
    <n v="10"/>
    <x v="2"/>
    <x v="1"/>
    <x v="1"/>
    <x v="0"/>
    <n v="20"/>
    <x v="6"/>
    <x v="7"/>
  </r>
  <r>
    <n v="3357"/>
    <x v="125"/>
    <x v="1"/>
    <x v="125"/>
    <x v="1"/>
    <n v="5"/>
    <x v="0"/>
    <x v="1"/>
    <x v="1"/>
    <x v="1"/>
    <n v="0"/>
    <x v="4"/>
    <x v="4"/>
  </r>
  <r>
    <n v="3358"/>
    <x v="126"/>
    <x v="0"/>
    <x v="126"/>
    <x v="0"/>
    <n v="15"/>
    <x v="1"/>
    <x v="0"/>
    <x v="0"/>
    <x v="0"/>
    <n v="20"/>
    <x v="3"/>
    <x v="3"/>
  </r>
  <r>
    <n v="3359"/>
    <x v="127"/>
    <x v="2"/>
    <x v="127"/>
    <x v="1"/>
    <n v="10"/>
    <x v="0"/>
    <x v="1"/>
    <x v="1"/>
    <x v="0"/>
    <n v="20"/>
    <x v="2"/>
    <x v="2"/>
  </r>
  <r>
    <n v="3360"/>
    <x v="128"/>
    <x v="1"/>
    <x v="128"/>
    <x v="0"/>
    <n v="5"/>
    <x v="2"/>
    <x v="1"/>
    <x v="1"/>
    <x v="1"/>
    <n v="0"/>
    <x v="1"/>
    <x v="1"/>
  </r>
  <r>
    <n v="3361"/>
    <x v="129"/>
    <x v="0"/>
    <x v="129"/>
    <x v="1"/>
    <n v="15"/>
    <x v="0"/>
    <x v="0"/>
    <x v="0"/>
    <x v="0"/>
    <n v="20"/>
    <x v="6"/>
    <x v="14"/>
  </r>
  <r>
    <n v="3362"/>
    <x v="130"/>
    <x v="2"/>
    <x v="130"/>
    <x v="0"/>
    <n v="10"/>
    <x v="1"/>
    <x v="1"/>
    <x v="1"/>
    <x v="0"/>
    <n v="20"/>
    <x v="6"/>
    <x v="7"/>
  </r>
  <r>
    <n v="3363"/>
    <x v="131"/>
    <x v="1"/>
    <x v="131"/>
    <x v="1"/>
    <n v="5"/>
    <x v="0"/>
    <x v="1"/>
    <x v="1"/>
    <x v="1"/>
    <n v="0"/>
    <x v="4"/>
    <x v="4"/>
  </r>
  <r>
    <n v="3364"/>
    <x v="132"/>
    <x v="0"/>
    <x v="132"/>
    <x v="0"/>
    <n v="15"/>
    <x v="2"/>
    <x v="0"/>
    <x v="0"/>
    <x v="0"/>
    <n v="20"/>
    <x v="10"/>
    <x v="12"/>
  </r>
  <r>
    <n v="3365"/>
    <x v="133"/>
    <x v="2"/>
    <x v="133"/>
    <x v="1"/>
    <n v="10"/>
    <x v="0"/>
    <x v="1"/>
    <x v="1"/>
    <x v="0"/>
    <n v="20"/>
    <x v="2"/>
    <x v="2"/>
  </r>
  <r>
    <n v="3366"/>
    <x v="134"/>
    <x v="1"/>
    <x v="134"/>
    <x v="0"/>
    <n v="5"/>
    <x v="0"/>
    <x v="1"/>
    <x v="1"/>
    <x v="1"/>
    <n v="0"/>
    <x v="1"/>
    <x v="1"/>
  </r>
  <r>
    <n v="3367"/>
    <x v="135"/>
    <x v="0"/>
    <x v="135"/>
    <x v="1"/>
    <n v="15"/>
    <x v="2"/>
    <x v="0"/>
    <x v="0"/>
    <x v="0"/>
    <n v="20"/>
    <x v="10"/>
    <x v="12"/>
  </r>
  <r>
    <n v="3368"/>
    <x v="136"/>
    <x v="2"/>
    <x v="136"/>
    <x v="0"/>
    <n v="10"/>
    <x v="1"/>
    <x v="1"/>
    <x v="1"/>
    <x v="0"/>
    <n v="20"/>
    <x v="2"/>
    <x v="2"/>
  </r>
  <r>
    <n v="3369"/>
    <x v="137"/>
    <x v="1"/>
    <x v="137"/>
    <x v="1"/>
    <n v="5"/>
    <x v="2"/>
    <x v="1"/>
    <x v="1"/>
    <x v="1"/>
    <n v="0"/>
    <x v="4"/>
    <x v="4"/>
  </r>
  <r>
    <n v="3370"/>
    <x v="138"/>
    <x v="0"/>
    <x v="138"/>
    <x v="0"/>
    <n v="15"/>
    <x v="0"/>
    <x v="0"/>
    <x v="0"/>
    <x v="0"/>
    <n v="20"/>
    <x v="6"/>
    <x v="14"/>
  </r>
  <r>
    <n v="3371"/>
    <x v="139"/>
    <x v="2"/>
    <x v="139"/>
    <x v="1"/>
    <n v="10"/>
    <x v="0"/>
    <x v="1"/>
    <x v="1"/>
    <x v="0"/>
    <n v="20"/>
    <x v="0"/>
    <x v="13"/>
  </r>
  <r>
    <n v="3372"/>
    <x v="140"/>
    <x v="1"/>
    <x v="140"/>
    <x v="0"/>
    <n v="5"/>
    <x v="1"/>
    <x v="1"/>
    <x v="1"/>
    <x v="1"/>
    <n v="0"/>
    <x v="1"/>
    <x v="1"/>
  </r>
  <r>
    <n v="3373"/>
    <x v="141"/>
    <x v="0"/>
    <x v="141"/>
    <x v="1"/>
    <n v="15"/>
    <x v="2"/>
    <x v="0"/>
    <x v="0"/>
    <x v="0"/>
    <n v="20"/>
    <x v="7"/>
    <x v="8"/>
  </r>
  <r>
    <n v="3374"/>
    <x v="142"/>
    <x v="2"/>
    <x v="142"/>
    <x v="0"/>
    <n v="10"/>
    <x v="2"/>
    <x v="1"/>
    <x v="1"/>
    <x v="0"/>
    <n v="20"/>
    <x v="9"/>
    <x v="10"/>
  </r>
  <r>
    <n v="3375"/>
    <x v="143"/>
    <x v="1"/>
    <x v="143"/>
    <x v="1"/>
    <n v="5"/>
    <x v="0"/>
    <x v="1"/>
    <x v="1"/>
    <x v="1"/>
    <n v="0"/>
    <x v="5"/>
    <x v="11"/>
  </r>
  <r>
    <n v="3376"/>
    <x v="144"/>
    <x v="0"/>
    <x v="144"/>
    <x v="0"/>
    <n v="15"/>
    <x v="1"/>
    <x v="0"/>
    <x v="0"/>
    <x v="0"/>
    <n v="20"/>
    <x v="0"/>
    <x v="0"/>
  </r>
  <r>
    <n v="3377"/>
    <x v="145"/>
    <x v="2"/>
    <x v="145"/>
    <x v="1"/>
    <n v="10"/>
    <x v="0"/>
    <x v="1"/>
    <x v="1"/>
    <x v="0"/>
    <n v="20"/>
    <x v="2"/>
    <x v="2"/>
  </r>
  <r>
    <n v="3378"/>
    <x v="146"/>
    <x v="1"/>
    <x v="146"/>
    <x v="0"/>
    <n v="5"/>
    <x v="2"/>
    <x v="1"/>
    <x v="1"/>
    <x v="1"/>
    <n v="0"/>
    <x v="1"/>
    <x v="1"/>
  </r>
  <r>
    <n v="3379"/>
    <x v="147"/>
    <x v="0"/>
    <x v="147"/>
    <x v="1"/>
    <n v="15"/>
    <x v="0"/>
    <x v="0"/>
    <x v="0"/>
    <x v="0"/>
    <n v="20"/>
    <x v="3"/>
    <x v="3"/>
  </r>
  <r>
    <n v="3380"/>
    <x v="148"/>
    <x v="2"/>
    <x v="148"/>
    <x v="0"/>
    <n v="10"/>
    <x v="1"/>
    <x v="1"/>
    <x v="1"/>
    <x v="0"/>
    <n v="20"/>
    <x v="6"/>
    <x v="7"/>
  </r>
  <r>
    <n v="3381"/>
    <x v="149"/>
    <x v="1"/>
    <x v="149"/>
    <x v="1"/>
    <n v="5"/>
    <x v="0"/>
    <x v="1"/>
    <x v="1"/>
    <x v="1"/>
    <n v="0"/>
    <x v="4"/>
    <x v="4"/>
  </r>
  <r>
    <n v="3382"/>
    <x v="150"/>
    <x v="0"/>
    <x v="150"/>
    <x v="0"/>
    <n v="15"/>
    <x v="2"/>
    <x v="0"/>
    <x v="0"/>
    <x v="0"/>
    <n v="20"/>
    <x v="10"/>
    <x v="12"/>
  </r>
  <r>
    <n v="3383"/>
    <x v="151"/>
    <x v="2"/>
    <x v="151"/>
    <x v="1"/>
    <n v="10"/>
    <x v="0"/>
    <x v="1"/>
    <x v="1"/>
    <x v="0"/>
    <n v="20"/>
    <x v="2"/>
    <x v="2"/>
  </r>
  <r>
    <n v="3384"/>
    <x v="152"/>
    <x v="1"/>
    <x v="152"/>
    <x v="0"/>
    <n v="5"/>
    <x v="1"/>
    <x v="1"/>
    <x v="1"/>
    <x v="1"/>
    <n v="0"/>
    <x v="1"/>
    <x v="1"/>
  </r>
  <r>
    <n v="3385"/>
    <x v="153"/>
    <x v="0"/>
    <x v="153"/>
    <x v="1"/>
    <n v="15"/>
    <x v="0"/>
    <x v="0"/>
    <x v="0"/>
    <x v="0"/>
    <n v="20"/>
    <x v="7"/>
    <x v="8"/>
  </r>
  <r>
    <n v="3386"/>
    <x v="154"/>
    <x v="2"/>
    <x v="154"/>
    <x v="0"/>
    <n v="10"/>
    <x v="2"/>
    <x v="1"/>
    <x v="1"/>
    <x v="0"/>
    <n v="20"/>
    <x v="6"/>
    <x v="7"/>
  </r>
  <r>
    <n v="3387"/>
    <x v="155"/>
    <x v="1"/>
    <x v="155"/>
    <x v="1"/>
    <n v="5"/>
    <x v="0"/>
    <x v="1"/>
    <x v="1"/>
    <x v="1"/>
    <n v="0"/>
    <x v="4"/>
    <x v="4"/>
  </r>
  <r>
    <n v="3388"/>
    <x v="156"/>
    <x v="0"/>
    <x v="156"/>
    <x v="0"/>
    <n v="15"/>
    <x v="1"/>
    <x v="0"/>
    <x v="0"/>
    <x v="0"/>
    <n v="20"/>
    <x v="3"/>
    <x v="3"/>
  </r>
  <r>
    <n v="3389"/>
    <x v="157"/>
    <x v="2"/>
    <x v="157"/>
    <x v="1"/>
    <n v="10"/>
    <x v="0"/>
    <x v="1"/>
    <x v="1"/>
    <x v="0"/>
    <n v="20"/>
    <x v="2"/>
    <x v="2"/>
  </r>
  <r>
    <n v="3390"/>
    <x v="158"/>
    <x v="1"/>
    <x v="158"/>
    <x v="0"/>
    <n v="5"/>
    <x v="2"/>
    <x v="1"/>
    <x v="1"/>
    <x v="1"/>
    <n v="0"/>
    <x v="1"/>
    <x v="1"/>
  </r>
  <r>
    <n v="3391"/>
    <x v="58"/>
    <x v="0"/>
    <x v="159"/>
    <x v="1"/>
    <n v="15"/>
    <x v="0"/>
    <x v="0"/>
    <x v="0"/>
    <x v="0"/>
    <n v="20"/>
    <x v="6"/>
    <x v="14"/>
  </r>
  <r>
    <n v="3392"/>
    <x v="159"/>
    <x v="2"/>
    <x v="160"/>
    <x v="0"/>
    <n v="10"/>
    <x v="1"/>
    <x v="1"/>
    <x v="1"/>
    <x v="0"/>
    <n v="20"/>
    <x v="6"/>
    <x v="7"/>
  </r>
  <r>
    <n v="3393"/>
    <x v="160"/>
    <x v="1"/>
    <x v="161"/>
    <x v="1"/>
    <n v="5"/>
    <x v="0"/>
    <x v="1"/>
    <x v="1"/>
    <x v="1"/>
    <n v="0"/>
    <x v="4"/>
    <x v="4"/>
  </r>
  <r>
    <n v="3394"/>
    <x v="161"/>
    <x v="0"/>
    <x v="162"/>
    <x v="0"/>
    <n v="15"/>
    <x v="2"/>
    <x v="0"/>
    <x v="0"/>
    <x v="0"/>
    <n v="20"/>
    <x v="10"/>
    <x v="12"/>
  </r>
  <r>
    <n v="3395"/>
    <x v="162"/>
    <x v="2"/>
    <x v="163"/>
    <x v="1"/>
    <n v="10"/>
    <x v="0"/>
    <x v="1"/>
    <x v="1"/>
    <x v="0"/>
    <n v="20"/>
    <x v="2"/>
    <x v="2"/>
  </r>
  <r>
    <n v="3396"/>
    <x v="163"/>
    <x v="1"/>
    <x v="164"/>
    <x v="0"/>
    <n v="5"/>
    <x v="1"/>
    <x v="1"/>
    <x v="1"/>
    <x v="1"/>
    <n v="0"/>
    <x v="1"/>
    <x v="1"/>
  </r>
  <r>
    <n v="3397"/>
    <x v="90"/>
    <x v="0"/>
    <x v="165"/>
    <x v="1"/>
    <n v="15"/>
    <x v="0"/>
    <x v="0"/>
    <x v="0"/>
    <x v="0"/>
    <n v="20"/>
    <x v="7"/>
    <x v="8"/>
  </r>
  <r>
    <n v="3398"/>
    <x v="164"/>
    <x v="2"/>
    <x v="166"/>
    <x v="0"/>
    <n v="10"/>
    <x v="2"/>
    <x v="1"/>
    <x v="1"/>
    <x v="0"/>
    <n v="20"/>
    <x v="6"/>
    <x v="7"/>
  </r>
  <r>
    <n v="3399"/>
    <x v="165"/>
    <x v="1"/>
    <x v="167"/>
    <x v="1"/>
    <n v="5"/>
    <x v="0"/>
    <x v="1"/>
    <x v="1"/>
    <x v="1"/>
    <n v="0"/>
    <x v="4"/>
    <x v="4"/>
  </r>
  <r>
    <n v="3400"/>
    <x v="166"/>
    <x v="0"/>
    <x v="168"/>
    <x v="0"/>
    <n v="15"/>
    <x v="1"/>
    <x v="0"/>
    <x v="0"/>
    <x v="0"/>
    <n v="20"/>
    <x v="0"/>
    <x v="0"/>
  </r>
  <r>
    <n v="3401"/>
    <x v="167"/>
    <x v="2"/>
    <x v="169"/>
    <x v="1"/>
    <n v="10"/>
    <x v="0"/>
    <x v="1"/>
    <x v="1"/>
    <x v="0"/>
    <n v="20"/>
    <x v="2"/>
    <x v="2"/>
  </r>
  <r>
    <n v="3402"/>
    <x v="168"/>
    <x v="1"/>
    <x v="170"/>
    <x v="0"/>
    <n v="5"/>
    <x v="2"/>
    <x v="1"/>
    <x v="1"/>
    <x v="1"/>
    <n v="0"/>
    <x v="1"/>
    <x v="1"/>
  </r>
  <r>
    <n v="3403"/>
    <x v="169"/>
    <x v="0"/>
    <x v="171"/>
    <x v="1"/>
    <n v="15"/>
    <x v="0"/>
    <x v="0"/>
    <x v="0"/>
    <x v="0"/>
    <n v="20"/>
    <x v="3"/>
    <x v="3"/>
  </r>
  <r>
    <n v="3404"/>
    <x v="170"/>
    <x v="2"/>
    <x v="172"/>
    <x v="0"/>
    <n v="10"/>
    <x v="1"/>
    <x v="1"/>
    <x v="1"/>
    <x v="0"/>
    <n v="20"/>
    <x v="6"/>
    <x v="7"/>
  </r>
  <r>
    <n v="3405"/>
    <x v="171"/>
    <x v="1"/>
    <x v="173"/>
    <x v="1"/>
    <n v="5"/>
    <x v="0"/>
    <x v="1"/>
    <x v="1"/>
    <x v="1"/>
    <n v="0"/>
    <x v="4"/>
    <x v="4"/>
  </r>
  <r>
    <n v="3406"/>
    <x v="172"/>
    <x v="1"/>
    <x v="174"/>
    <x v="0"/>
    <n v="5"/>
    <x v="0"/>
    <x v="1"/>
    <x v="1"/>
    <x v="1"/>
    <n v="0"/>
    <x v="1"/>
    <x v="1"/>
  </r>
  <r>
    <n v="3407"/>
    <x v="173"/>
    <x v="0"/>
    <x v="175"/>
    <x v="1"/>
    <n v="15"/>
    <x v="2"/>
    <x v="0"/>
    <x v="0"/>
    <x v="0"/>
    <n v="20"/>
    <x v="10"/>
    <x v="12"/>
  </r>
  <r>
    <n v="3408"/>
    <x v="174"/>
    <x v="2"/>
    <x v="176"/>
    <x v="0"/>
    <n v="10"/>
    <x v="1"/>
    <x v="1"/>
    <x v="1"/>
    <x v="0"/>
    <n v="20"/>
    <x v="2"/>
    <x v="2"/>
  </r>
  <r>
    <n v="3409"/>
    <x v="175"/>
    <x v="1"/>
    <x v="177"/>
    <x v="1"/>
    <n v="5"/>
    <x v="2"/>
    <x v="1"/>
    <x v="1"/>
    <x v="1"/>
    <n v="0"/>
    <x v="4"/>
    <x v="4"/>
  </r>
  <r>
    <n v="3410"/>
    <x v="176"/>
    <x v="0"/>
    <x v="178"/>
    <x v="0"/>
    <n v="15"/>
    <x v="0"/>
    <x v="0"/>
    <x v="0"/>
    <x v="0"/>
    <n v="20"/>
    <x v="6"/>
    <x v="14"/>
  </r>
  <r>
    <n v="3411"/>
    <x v="177"/>
    <x v="2"/>
    <x v="179"/>
    <x v="1"/>
    <n v="10"/>
    <x v="0"/>
    <x v="1"/>
    <x v="1"/>
    <x v="0"/>
    <n v="20"/>
    <x v="0"/>
    <x v="13"/>
  </r>
  <r>
    <n v="3412"/>
    <x v="178"/>
    <x v="1"/>
    <x v="180"/>
    <x v="0"/>
    <n v="5"/>
    <x v="1"/>
    <x v="1"/>
    <x v="1"/>
    <x v="1"/>
    <n v="0"/>
    <x v="1"/>
    <x v="1"/>
  </r>
  <r>
    <n v="3413"/>
    <x v="179"/>
    <x v="0"/>
    <x v="181"/>
    <x v="1"/>
    <n v="15"/>
    <x v="2"/>
    <x v="0"/>
    <x v="0"/>
    <x v="0"/>
    <n v="20"/>
    <x v="7"/>
    <x v="8"/>
  </r>
  <r>
    <n v="3414"/>
    <x v="180"/>
    <x v="2"/>
    <x v="182"/>
    <x v="0"/>
    <n v="10"/>
    <x v="2"/>
    <x v="1"/>
    <x v="1"/>
    <x v="0"/>
    <n v="20"/>
    <x v="9"/>
    <x v="10"/>
  </r>
  <r>
    <n v="3415"/>
    <x v="181"/>
    <x v="1"/>
    <x v="183"/>
    <x v="1"/>
    <n v="5"/>
    <x v="0"/>
    <x v="1"/>
    <x v="1"/>
    <x v="1"/>
    <n v="0"/>
    <x v="5"/>
    <x v="11"/>
  </r>
  <r>
    <n v="3416"/>
    <x v="182"/>
    <x v="0"/>
    <x v="184"/>
    <x v="0"/>
    <n v="15"/>
    <x v="1"/>
    <x v="0"/>
    <x v="0"/>
    <x v="0"/>
    <n v="20"/>
    <x v="0"/>
    <x v="0"/>
  </r>
  <r>
    <n v="3417"/>
    <x v="183"/>
    <x v="2"/>
    <x v="185"/>
    <x v="1"/>
    <n v="10"/>
    <x v="0"/>
    <x v="1"/>
    <x v="1"/>
    <x v="0"/>
    <n v="20"/>
    <x v="2"/>
    <x v="2"/>
  </r>
  <r>
    <n v="3418"/>
    <x v="184"/>
    <x v="1"/>
    <x v="186"/>
    <x v="0"/>
    <n v="5"/>
    <x v="2"/>
    <x v="1"/>
    <x v="1"/>
    <x v="1"/>
    <n v="0"/>
    <x v="1"/>
    <x v="1"/>
  </r>
  <r>
    <n v="3419"/>
    <x v="185"/>
    <x v="0"/>
    <x v="187"/>
    <x v="1"/>
    <n v="15"/>
    <x v="0"/>
    <x v="0"/>
    <x v="0"/>
    <x v="0"/>
    <n v="20"/>
    <x v="3"/>
    <x v="3"/>
  </r>
  <r>
    <n v="3420"/>
    <x v="186"/>
    <x v="2"/>
    <x v="188"/>
    <x v="0"/>
    <n v="10"/>
    <x v="1"/>
    <x v="1"/>
    <x v="1"/>
    <x v="0"/>
    <n v="20"/>
    <x v="6"/>
    <x v="7"/>
  </r>
  <r>
    <n v="3421"/>
    <x v="15"/>
    <x v="1"/>
    <x v="189"/>
    <x v="1"/>
    <n v="5"/>
    <x v="0"/>
    <x v="1"/>
    <x v="1"/>
    <x v="1"/>
    <n v="0"/>
    <x v="4"/>
    <x v="4"/>
  </r>
  <r>
    <n v="3422"/>
    <x v="187"/>
    <x v="0"/>
    <x v="190"/>
    <x v="0"/>
    <n v="15"/>
    <x v="2"/>
    <x v="0"/>
    <x v="0"/>
    <x v="0"/>
    <n v="20"/>
    <x v="10"/>
    <x v="12"/>
  </r>
  <r>
    <n v="3423"/>
    <x v="188"/>
    <x v="2"/>
    <x v="191"/>
    <x v="1"/>
    <n v="10"/>
    <x v="0"/>
    <x v="1"/>
    <x v="1"/>
    <x v="0"/>
    <n v="20"/>
    <x v="2"/>
    <x v="2"/>
  </r>
  <r>
    <n v="3424"/>
    <x v="14"/>
    <x v="1"/>
    <x v="192"/>
    <x v="0"/>
    <n v="5"/>
    <x v="1"/>
    <x v="1"/>
    <x v="1"/>
    <x v="1"/>
    <n v="0"/>
    <x v="1"/>
    <x v="1"/>
  </r>
  <r>
    <n v="3425"/>
    <x v="189"/>
    <x v="0"/>
    <x v="193"/>
    <x v="1"/>
    <n v="15"/>
    <x v="0"/>
    <x v="0"/>
    <x v="0"/>
    <x v="0"/>
    <n v="20"/>
    <x v="7"/>
    <x v="8"/>
  </r>
  <r>
    <n v="3426"/>
    <x v="167"/>
    <x v="2"/>
    <x v="194"/>
    <x v="0"/>
    <n v="10"/>
    <x v="2"/>
    <x v="1"/>
    <x v="1"/>
    <x v="0"/>
    <n v="20"/>
    <x v="6"/>
    <x v="7"/>
  </r>
  <r>
    <n v="3427"/>
    <x v="190"/>
    <x v="1"/>
    <x v="195"/>
    <x v="1"/>
    <n v="5"/>
    <x v="0"/>
    <x v="1"/>
    <x v="1"/>
    <x v="1"/>
    <n v="0"/>
    <x v="4"/>
    <x v="4"/>
  </r>
  <r>
    <n v="3428"/>
    <x v="191"/>
    <x v="0"/>
    <x v="196"/>
    <x v="0"/>
    <n v="15"/>
    <x v="1"/>
    <x v="0"/>
    <x v="0"/>
    <x v="0"/>
    <n v="20"/>
    <x v="3"/>
    <x v="3"/>
  </r>
  <r>
    <n v="3429"/>
    <x v="192"/>
    <x v="2"/>
    <x v="197"/>
    <x v="1"/>
    <n v="10"/>
    <x v="0"/>
    <x v="1"/>
    <x v="1"/>
    <x v="0"/>
    <n v="20"/>
    <x v="2"/>
    <x v="2"/>
  </r>
  <r>
    <n v="3430"/>
    <x v="193"/>
    <x v="1"/>
    <x v="198"/>
    <x v="0"/>
    <n v="5"/>
    <x v="2"/>
    <x v="1"/>
    <x v="1"/>
    <x v="1"/>
    <n v="0"/>
    <x v="1"/>
    <x v="1"/>
  </r>
  <r>
    <n v="3431"/>
    <x v="194"/>
    <x v="0"/>
    <x v="199"/>
    <x v="1"/>
    <n v="15"/>
    <x v="0"/>
    <x v="0"/>
    <x v="0"/>
    <x v="0"/>
    <n v="20"/>
    <x v="6"/>
    <x v="14"/>
  </r>
  <r>
    <n v="3432"/>
    <x v="195"/>
    <x v="2"/>
    <x v="200"/>
    <x v="0"/>
    <n v="10"/>
    <x v="1"/>
    <x v="1"/>
    <x v="1"/>
    <x v="0"/>
    <n v="20"/>
    <x v="6"/>
    <x v="7"/>
  </r>
  <r>
    <n v="3433"/>
    <x v="196"/>
    <x v="1"/>
    <x v="201"/>
    <x v="1"/>
    <n v="5"/>
    <x v="0"/>
    <x v="1"/>
    <x v="1"/>
    <x v="1"/>
    <n v="0"/>
    <x v="4"/>
    <x v="4"/>
  </r>
  <r>
    <n v="3434"/>
    <x v="197"/>
    <x v="0"/>
    <x v="202"/>
    <x v="0"/>
    <n v="15"/>
    <x v="2"/>
    <x v="0"/>
    <x v="0"/>
    <x v="0"/>
    <n v="20"/>
    <x v="10"/>
    <x v="12"/>
  </r>
  <r>
    <n v="3435"/>
    <x v="198"/>
    <x v="2"/>
    <x v="203"/>
    <x v="1"/>
    <n v="10"/>
    <x v="0"/>
    <x v="1"/>
    <x v="1"/>
    <x v="0"/>
    <n v="20"/>
    <x v="2"/>
    <x v="2"/>
  </r>
  <r>
    <n v="3436"/>
    <x v="199"/>
    <x v="1"/>
    <x v="204"/>
    <x v="0"/>
    <n v="5"/>
    <x v="0"/>
    <x v="1"/>
    <x v="1"/>
    <x v="1"/>
    <n v="0"/>
    <x v="1"/>
    <x v="1"/>
  </r>
  <r>
    <n v="3437"/>
    <x v="200"/>
    <x v="0"/>
    <x v="205"/>
    <x v="1"/>
    <n v="15"/>
    <x v="2"/>
    <x v="0"/>
    <x v="0"/>
    <x v="0"/>
    <n v="20"/>
    <x v="10"/>
    <x v="12"/>
  </r>
  <r>
    <n v="3438"/>
    <x v="201"/>
    <x v="2"/>
    <x v="206"/>
    <x v="0"/>
    <n v="10"/>
    <x v="1"/>
    <x v="1"/>
    <x v="1"/>
    <x v="0"/>
    <n v="20"/>
    <x v="2"/>
    <x v="2"/>
  </r>
  <r>
    <n v="3439"/>
    <x v="202"/>
    <x v="1"/>
    <x v="207"/>
    <x v="1"/>
    <n v="5"/>
    <x v="2"/>
    <x v="1"/>
    <x v="1"/>
    <x v="1"/>
    <n v="0"/>
    <x v="4"/>
    <x v="4"/>
  </r>
  <r>
    <n v="3440"/>
    <x v="203"/>
    <x v="0"/>
    <x v="208"/>
    <x v="0"/>
    <n v="15"/>
    <x v="0"/>
    <x v="0"/>
    <x v="0"/>
    <x v="0"/>
    <n v="20"/>
    <x v="6"/>
    <x v="14"/>
  </r>
  <r>
    <n v="3441"/>
    <x v="204"/>
    <x v="2"/>
    <x v="209"/>
    <x v="1"/>
    <n v="10"/>
    <x v="0"/>
    <x v="1"/>
    <x v="1"/>
    <x v="0"/>
    <n v="20"/>
    <x v="0"/>
    <x v="13"/>
  </r>
  <r>
    <n v="3442"/>
    <x v="205"/>
    <x v="1"/>
    <x v="210"/>
    <x v="0"/>
    <n v="5"/>
    <x v="1"/>
    <x v="1"/>
    <x v="1"/>
    <x v="1"/>
    <n v="0"/>
    <x v="1"/>
    <x v="1"/>
  </r>
  <r>
    <n v="3443"/>
    <x v="206"/>
    <x v="0"/>
    <x v="211"/>
    <x v="1"/>
    <n v="15"/>
    <x v="2"/>
    <x v="0"/>
    <x v="0"/>
    <x v="0"/>
    <n v="20"/>
    <x v="7"/>
    <x v="8"/>
  </r>
  <r>
    <n v="3444"/>
    <x v="207"/>
    <x v="2"/>
    <x v="212"/>
    <x v="0"/>
    <n v="10"/>
    <x v="2"/>
    <x v="1"/>
    <x v="1"/>
    <x v="0"/>
    <n v="20"/>
    <x v="9"/>
    <x v="10"/>
  </r>
  <r>
    <n v="3445"/>
    <x v="37"/>
    <x v="1"/>
    <x v="213"/>
    <x v="1"/>
    <n v="5"/>
    <x v="0"/>
    <x v="1"/>
    <x v="1"/>
    <x v="1"/>
    <n v="0"/>
    <x v="5"/>
    <x v="11"/>
  </r>
  <r>
    <n v="3446"/>
    <x v="208"/>
    <x v="0"/>
    <x v="214"/>
    <x v="0"/>
    <n v="15"/>
    <x v="1"/>
    <x v="0"/>
    <x v="0"/>
    <x v="0"/>
    <n v="20"/>
    <x v="0"/>
    <x v="0"/>
  </r>
  <r>
    <n v="3447"/>
    <x v="209"/>
    <x v="2"/>
    <x v="215"/>
    <x v="1"/>
    <n v="10"/>
    <x v="0"/>
    <x v="1"/>
    <x v="1"/>
    <x v="0"/>
    <n v="20"/>
    <x v="2"/>
    <x v="2"/>
  </r>
  <r>
    <n v="3448"/>
    <x v="210"/>
    <x v="1"/>
    <x v="216"/>
    <x v="0"/>
    <n v="5"/>
    <x v="2"/>
    <x v="1"/>
    <x v="1"/>
    <x v="1"/>
    <n v="0"/>
    <x v="1"/>
    <x v="1"/>
  </r>
  <r>
    <n v="3449"/>
    <x v="211"/>
    <x v="0"/>
    <x v="217"/>
    <x v="1"/>
    <n v="15"/>
    <x v="0"/>
    <x v="0"/>
    <x v="0"/>
    <x v="0"/>
    <n v="20"/>
    <x v="3"/>
    <x v="3"/>
  </r>
  <r>
    <n v="3450"/>
    <x v="212"/>
    <x v="2"/>
    <x v="218"/>
    <x v="0"/>
    <n v="10"/>
    <x v="1"/>
    <x v="1"/>
    <x v="1"/>
    <x v="0"/>
    <n v="20"/>
    <x v="6"/>
    <x v="7"/>
  </r>
  <r>
    <n v="3451"/>
    <x v="213"/>
    <x v="1"/>
    <x v="219"/>
    <x v="1"/>
    <n v="5"/>
    <x v="0"/>
    <x v="1"/>
    <x v="1"/>
    <x v="1"/>
    <n v="0"/>
    <x v="4"/>
    <x v="4"/>
  </r>
  <r>
    <n v="3452"/>
    <x v="191"/>
    <x v="0"/>
    <x v="220"/>
    <x v="0"/>
    <n v="15"/>
    <x v="2"/>
    <x v="0"/>
    <x v="0"/>
    <x v="0"/>
    <n v="20"/>
    <x v="10"/>
    <x v="12"/>
  </r>
  <r>
    <n v="3453"/>
    <x v="45"/>
    <x v="2"/>
    <x v="221"/>
    <x v="1"/>
    <n v="10"/>
    <x v="0"/>
    <x v="1"/>
    <x v="1"/>
    <x v="0"/>
    <n v="20"/>
    <x v="2"/>
    <x v="2"/>
  </r>
  <r>
    <n v="3454"/>
    <x v="214"/>
    <x v="1"/>
    <x v="222"/>
    <x v="0"/>
    <n v="5"/>
    <x v="1"/>
    <x v="1"/>
    <x v="1"/>
    <x v="1"/>
    <n v="0"/>
    <x v="1"/>
    <x v="1"/>
  </r>
  <r>
    <n v="3455"/>
    <x v="215"/>
    <x v="0"/>
    <x v="223"/>
    <x v="1"/>
    <n v="15"/>
    <x v="0"/>
    <x v="0"/>
    <x v="0"/>
    <x v="0"/>
    <n v="20"/>
    <x v="7"/>
    <x v="8"/>
  </r>
  <r>
    <n v="3456"/>
    <x v="216"/>
    <x v="2"/>
    <x v="224"/>
    <x v="0"/>
    <n v="10"/>
    <x v="2"/>
    <x v="1"/>
    <x v="1"/>
    <x v="0"/>
    <n v="20"/>
    <x v="6"/>
    <x v="7"/>
  </r>
  <r>
    <n v="3457"/>
    <x v="217"/>
    <x v="1"/>
    <x v="225"/>
    <x v="1"/>
    <n v="5"/>
    <x v="0"/>
    <x v="1"/>
    <x v="1"/>
    <x v="1"/>
    <n v="0"/>
    <x v="4"/>
    <x v="4"/>
  </r>
  <r>
    <n v="3458"/>
    <x v="218"/>
    <x v="0"/>
    <x v="226"/>
    <x v="0"/>
    <n v="15"/>
    <x v="1"/>
    <x v="0"/>
    <x v="0"/>
    <x v="0"/>
    <n v="20"/>
    <x v="3"/>
    <x v="3"/>
  </r>
  <r>
    <n v="3459"/>
    <x v="219"/>
    <x v="2"/>
    <x v="227"/>
    <x v="1"/>
    <n v="10"/>
    <x v="0"/>
    <x v="1"/>
    <x v="1"/>
    <x v="0"/>
    <n v="20"/>
    <x v="2"/>
    <x v="2"/>
  </r>
  <r>
    <n v="3460"/>
    <x v="127"/>
    <x v="1"/>
    <x v="228"/>
    <x v="0"/>
    <n v="5"/>
    <x v="2"/>
    <x v="1"/>
    <x v="1"/>
    <x v="1"/>
    <n v="0"/>
    <x v="1"/>
    <x v="1"/>
  </r>
  <r>
    <n v="3461"/>
    <x v="220"/>
    <x v="0"/>
    <x v="229"/>
    <x v="1"/>
    <n v="15"/>
    <x v="0"/>
    <x v="0"/>
    <x v="0"/>
    <x v="0"/>
    <n v="20"/>
    <x v="6"/>
    <x v="14"/>
  </r>
  <r>
    <n v="3462"/>
    <x v="221"/>
    <x v="2"/>
    <x v="230"/>
    <x v="0"/>
    <n v="10"/>
    <x v="1"/>
    <x v="1"/>
    <x v="1"/>
    <x v="0"/>
    <n v="20"/>
    <x v="6"/>
    <x v="7"/>
  </r>
  <r>
    <n v="3463"/>
    <x v="222"/>
    <x v="1"/>
    <x v="231"/>
    <x v="1"/>
    <n v="5"/>
    <x v="0"/>
    <x v="1"/>
    <x v="1"/>
    <x v="1"/>
    <n v="0"/>
    <x v="4"/>
    <x v="4"/>
  </r>
  <r>
    <n v="3464"/>
    <x v="223"/>
    <x v="0"/>
    <x v="232"/>
    <x v="0"/>
    <n v="15"/>
    <x v="2"/>
    <x v="0"/>
    <x v="0"/>
    <x v="0"/>
    <n v="20"/>
    <x v="10"/>
    <x v="12"/>
  </r>
  <r>
    <n v="3465"/>
    <x v="224"/>
    <x v="2"/>
    <x v="233"/>
    <x v="1"/>
    <n v="10"/>
    <x v="0"/>
    <x v="1"/>
    <x v="1"/>
    <x v="0"/>
    <n v="20"/>
    <x v="2"/>
    <x v="2"/>
  </r>
  <r>
    <n v="3466"/>
    <x v="225"/>
    <x v="1"/>
    <x v="234"/>
    <x v="0"/>
    <n v="5"/>
    <x v="1"/>
    <x v="1"/>
    <x v="1"/>
    <x v="1"/>
    <n v="0"/>
    <x v="1"/>
    <x v="1"/>
  </r>
  <r>
    <n v="3467"/>
    <x v="226"/>
    <x v="0"/>
    <x v="235"/>
    <x v="1"/>
    <n v="15"/>
    <x v="0"/>
    <x v="0"/>
    <x v="0"/>
    <x v="0"/>
    <n v="20"/>
    <x v="6"/>
    <x v="14"/>
  </r>
  <r>
    <n v="3468"/>
    <x v="227"/>
    <x v="2"/>
    <x v="236"/>
    <x v="0"/>
    <n v="10"/>
    <x v="2"/>
    <x v="1"/>
    <x v="1"/>
    <x v="0"/>
    <n v="20"/>
    <x v="9"/>
    <x v="10"/>
  </r>
  <r>
    <n v="3469"/>
    <x v="228"/>
    <x v="1"/>
    <x v="237"/>
    <x v="1"/>
    <n v="5"/>
    <x v="0"/>
    <x v="1"/>
    <x v="1"/>
    <x v="1"/>
    <n v="0"/>
    <x v="5"/>
    <x v="11"/>
  </r>
  <r>
    <n v="3470"/>
    <x v="229"/>
    <x v="0"/>
    <x v="238"/>
    <x v="0"/>
    <n v="15"/>
    <x v="1"/>
    <x v="0"/>
    <x v="0"/>
    <x v="0"/>
    <n v="20"/>
    <x v="0"/>
    <x v="0"/>
  </r>
  <r>
    <n v="3471"/>
    <x v="230"/>
    <x v="2"/>
    <x v="239"/>
    <x v="1"/>
    <n v="10"/>
    <x v="0"/>
    <x v="1"/>
    <x v="1"/>
    <x v="0"/>
    <n v="20"/>
    <x v="2"/>
    <x v="2"/>
  </r>
  <r>
    <n v="3472"/>
    <x v="231"/>
    <x v="1"/>
    <x v="240"/>
    <x v="0"/>
    <n v="5"/>
    <x v="2"/>
    <x v="1"/>
    <x v="1"/>
    <x v="1"/>
    <n v="0"/>
    <x v="1"/>
    <x v="1"/>
  </r>
  <r>
    <n v="3473"/>
    <x v="140"/>
    <x v="0"/>
    <x v="241"/>
    <x v="1"/>
    <n v="15"/>
    <x v="0"/>
    <x v="0"/>
    <x v="0"/>
    <x v="0"/>
    <n v="20"/>
    <x v="3"/>
    <x v="3"/>
  </r>
  <r>
    <n v="3474"/>
    <x v="232"/>
    <x v="2"/>
    <x v="242"/>
    <x v="0"/>
    <n v="10"/>
    <x v="1"/>
    <x v="1"/>
    <x v="1"/>
    <x v="0"/>
    <n v="20"/>
    <x v="6"/>
    <x v="7"/>
  </r>
  <r>
    <n v="3475"/>
    <x v="233"/>
    <x v="1"/>
    <x v="243"/>
    <x v="1"/>
    <n v="5"/>
    <x v="0"/>
    <x v="1"/>
    <x v="1"/>
    <x v="1"/>
    <n v="0"/>
    <x v="4"/>
    <x v="4"/>
  </r>
  <r>
    <n v="3476"/>
    <x v="234"/>
    <x v="0"/>
    <x v="244"/>
    <x v="0"/>
    <n v="15"/>
    <x v="2"/>
    <x v="0"/>
    <x v="0"/>
    <x v="0"/>
    <n v="20"/>
    <x v="10"/>
    <x v="12"/>
  </r>
  <r>
    <n v="3477"/>
    <x v="235"/>
    <x v="2"/>
    <x v="245"/>
    <x v="1"/>
    <n v="10"/>
    <x v="0"/>
    <x v="1"/>
    <x v="1"/>
    <x v="0"/>
    <n v="20"/>
    <x v="2"/>
    <x v="2"/>
  </r>
  <r>
    <n v="3478"/>
    <x v="236"/>
    <x v="1"/>
    <x v="246"/>
    <x v="0"/>
    <n v="5"/>
    <x v="1"/>
    <x v="1"/>
    <x v="1"/>
    <x v="1"/>
    <n v="0"/>
    <x v="1"/>
    <x v="1"/>
  </r>
  <r>
    <n v="3479"/>
    <x v="237"/>
    <x v="0"/>
    <x v="247"/>
    <x v="1"/>
    <n v="15"/>
    <x v="0"/>
    <x v="0"/>
    <x v="0"/>
    <x v="0"/>
    <n v="20"/>
    <x v="7"/>
    <x v="8"/>
  </r>
  <r>
    <n v="3480"/>
    <x v="238"/>
    <x v="2"/>
    <x v="248"/>
    <x v="0"/>
    <n v="10"/>
    <x v="2"/>
    <x v="1"/>
    <x v="1"/>
    <x v="0"/>
    <n v="20"/>
    <x v="6"/>
    <x v="7"/>
  </r>
  <r>
    <n v="3481"/>
    <x v="239"/>
    <x v="1"/>
    <x v="249"/>
    <x v="1"/>
    <n v="5"/>
    <x v="0"/>
    <x v="1"/>
    <x v="1"/>
    <x v="1"/>
    <n v="0"/>
    <x v="4"/>
    <x v="4"/>
  </r>
  <r>
    <n v="3482"/>
    <x v="240"/>
    <x v="0"/>
    <x v="250"/>
    <x v="0"/>
    <n v="15"/>
    <x v="1"/>
    <x v="0"/>
    <x v="0"/>
    <x v="0"/>
    <n v="20"/>
    <x v="3"/>
    <x v="3"/>
  </r>
  <r>
    <n v="3483"/>
    <x v="241"/>
    <x v="2"/>
    <x v="251"/>
    <x v="1"/>
    <n v="10"/>
    <x v="0"/>
    <x v="1"/>
    <x v="1"/>
    <x v="0"/>
    <n v="20"/>
    <x v="2"/>
    <x v="2"/>
  </r>
  <r>
    <n v="3484"/>
    <x v="242"/>
    <x v="1"/>
    <x v="252"/>
    <x v="0"/>
    <n v="5"/>
    <x v="2"/>
    <x v="1"/>
    <x v="1"/>
    <x v="1"/>
    <n v="0"/>
    <x v="1"/>
    <x v="1"/>
  </r>
  <r>
    <n v="3485"/>
    <x v="243"/>
    <x v="0"/>
    <x v="253"/>
    <x v="1"/>
    <n v="15"/>
    <x v="0"/>
    <x v="0"/>
    <x v="0"/>
    <x v="0"/>
    <n v="20"/>
    <x v="6"/>
    <x v="14"/>
  </r>
  <r>
    <n v="3486"/>
    <x v="244"/>
    <x v="1"/>
    <x v="254"/>
    <x v="0"/>
    <n v="5"/>
    <x v="0"/>
    <x v="1"/>
    <x v="1"/>
    <x v="1"/>
    <n v="0"/>
    <x v="1"/>
    <x v="1"/>
  </r>
  <r>
    <n v="3487"/>
    <x v="245"/>
    <x v="0"/>
    <x v="255"/>
    <x v="1"/>
    <n v="15"/>
    <x v="2"/>
    <x v="0"/>
    <x v="0"/>
    <x v="0"/>
    <n v="20"/>
    <x v="10"/>
    <x v="12"/>
  </r>
  <r>
    <n v="3488"/>
    <x v="246"/>
    <x v="2"/>
    <x v="256"/>
    <x v="0"/>
    <n v="10"/>
    <x v="1"/>
    <x v="1"/>
    <x v="1"/>
    <x v="0"/>
    <n v="20"/>
    <x v="2"/>
    <x v="2"/>
  </r>
  <r>
    <n v="3489"/>
    <x v="247"/>
    <x v="1"/>
    <x v="257"/>
    <x v="1"/>
    <n v="5"/>
    <x v="2"/>
    <x v="1"/>
    <x v="1"/>
    <x v="1"/>
    <n v="0"/>
    <x v="4"/>
    <x v="4"/>
  </r>
  <r>
    <n v="3490"/>
    <x v="248"/>
    <x v="0"/>
    <x v="258"/>
    <x v="0"/>
    <n v="15"/>
    <x v="0"/>
    <x v="0"/>
    <x v="0"/>
    <x v="0"/>
    <n v="20"/>
    <x v="6"/>
    <x v="14"/>
  </r>
  <r>
    <n v="3491"/>
    <x v="249"/>
    <x v="2"/>
    <x v="259"/>
    <x v="1"/>
    <n v="10"/>
    <x v="0"/>
    <x v="1"/>
    <x v="1"/>
    <x v="0"/>
    <n v="20"/>
    <x v="0"/>
    <x v="13"/>
  </r>
  <r>
    <n v="3492"/>
    <x v="250"/>
    <x v="1"/>
    <x v="260"/>
    <x v="0"/>
    <n v="5"/>
    <x v="1"/>
    <x v="1"/>
    <x v="1"/>
    <x v="1"/>
    <n v="0"/>
    <x v="1"/>
    <x v="1"/>
  </r>
  <r>
    <n v="3493"/>
    <x v="251"/>
    <x v="0"/>
    <x v="261"/>
    <x v="1"/>
    <n v="15"/>
    <x v="2"/>
    <x v="0"/>
    <x v="0"/>
    <x v="0"/>
    <n v="20"/>
    <x v="7"/>
    <x v="8"/>
  </r>
  <r>
    <n v="3494"/>
    <x v="252"/>
    <x v="2"/>
    <x v="262"/>
    <x v="0"/>
    <n v="10"/>
    <x v="2"/>
    <x v="1"/>
    <x v="1"/>
    <x v="0"/>
    <n v="20"/>
    <x v="9"/>
    <x v="10"/>
  </r>
  <r>
    <n v="3495"/>
    <x v="253"/>
    <x v="1"/>
    <x v="263"/>
    <x v="1"/>
    <n v="5"/>
    <x v="0"/>
    <x v="1"/>
    <x v="1"/>
    <x v="1"/>
    <n v="0"/>
    <x v="5"/>
    <x v="11"/>
  </r>
  <r>
    <n v="3496"/>
    <x v="254"/>
    <x v="0"/>
    <x v="264"/>
    <x v="0"/>
    <n v="15"/>
    <x v="1"/>
    <x v="0"/>
    <x v="0"/>
    <x v="0"/>
    <n v="20"/>
    <x v="0"/>
    <x v="0"/>
  </r>
  <r>
    <n v="3497"/>
    <x v="255"/>
    <x v="2"/>
    <x v="265"/>
    <x v="1"/>
    <n v="10"/>
    <x v="0"/>
    <x v="1"/>
    <x v="1"/>
    <x v="0"/>
    <n v="20"/>
    <x v="2"/>
    <x v="2"/>
  </r>
  <r>
    <n v="3498"/>
    <x v="256"/>
    <x v="1"/>
    <x v="266"/>
    <x v="0"/>
    <n v="5"/>
    <x v="2"/>
    <x v="1"/>
    <x v="1"/>
    <x v="1"/>
    <n v="0"/>
    <x v="1"/>
    <x v="1"/>
  </r>
  <r>
    <n v="3499"/>
    <x v="257"/>
    <x v="0"/>
    <x v="267"/>
    <x v="1"/>
    <n v="15"/>
    <x v="0"/>
    <x v="0"/>
    <x v="0"/>
    <x v="0"/>
    <n v="20"/>
    <x v="3"/>
    <x v="3"/>
  </r>
  <r>
    <n v="3500"/>
    <x v="258"/>
    <x v="2"/>
    <x v="268"/>
    <x v="0"/>
    <n v="10"/>
    <x v="1"/>
    <x v="1"/>
    <x v="1"/>
    <x v="0"/>
    <n v="20"/>
    <x v="6"/>
    <x v="7"/>
  </r>
  <r>
    <n v="3501"/>
    <x v="259"/>
    <x v="1"/>
    <x v="269"/>
    <x v="1"/>
    <n v="5"/>
    <x v="0"/>
    <x v="1"/>
    <x v="1"/>
    <x v="1"/>
    <n v="0"/>
    <x v="4"/>
    <x v="4"/>
  </r>
  <r>
    <n v="3502"/>
    <x v="260"/>
    <x v="0"/>
    <x v="270"/>
    <x v="0"/>
    <n v="15"/>
    <x v="2"/>
    <x v="0"/>
    <x v="0"/>
    <x v="0"/>
    <n v="20"/>
    <x v="10"/>
    <x v="12"/>
  </r>
  <r>
    <n v="3503"/>
    <x v="119"/>
    <x v="2"/>
    <x v="271"/>
    <x v="1"/>
    <n v="10"/>
    <x v="0"/>
    <x v="1"/>
    <x v="1"/>
    <x v="0"/>
    <n v="20"/>
    <x v="2"/>
    <x v="2"/>
  </r>
  <r>
    <n v="3504"/>
    <x v="261"/>
    <x v="1"/>
    <x v="272"/>
    <x v="0"/>
    <n v="5"/>
    <x v="1"/>
    <x v="1"/>
    <x v="1"/>
    <x v="1"/>
    <n v="0"/>
    <x v="1"/>
    <x v="1"/>
  </r>
  <r>
    <n v="3505"/>
    <x v="262"/>
    <x v="0"/>
    <x v="273"/>
    <x v="1"/>
    <n v="15"/>
    <x v="0"/>
    <x v="0"/>
    <x v="0"/>
    <x v="0"/>
    <n v="20"/>
    <x v="7"/>
    <x v="8"/>
  </r>
  <r>
    <n v="3506"/>
    <x v="263"/>
    <x v="2"/>
    <x v="274"/>
    <x v="0"/>
    <n v="10"/>
    <x v="2"/>
    <x v="1"/>
    <x v="1"/>
    <x v="0"/>
    <n v="20"/>
    <x v="6"/>
    <x v="7"/>
  </r>
  <r>
    <n v="3507"/>
    <x v="264"/>
    <x v="1"/>
    <x v="275"/>
    <x v="1"/>
    <n v="5"/>
    <x v="0"/>
    <x v="1"/>
    <x v="1"/>
    <x v="1"/>
    <n v="0"/>
    <x v="4"/>
    <x v="4"/>
  </r>
  <r>
    <n v="3508"/>
    <x v="265"/>
    <x v="0"/>
    <x v="276"/>
    <x v="0"/>
    <n v="15"/>
    <x v="1"/>
    <x v="0"/>
    <x v="0"/>
    <x v="0"/>
    <n v="20"/>
    <x v="3"/>
    <x v="3"/>
  </r>
  <r>
    <n v="3509"/>
    <x v="266"/>
    <x v="2"/>
    <x v="277"/>
    <x v="1"/>
    <n v="10"/>
    <x v="0"/>
    <x v="1"/>
    <x v="1"/>
    <x v="0"/>
    <n v="20"/>
    <x v="2"/>
    <x v="2"/>
  </r>
  <r>
    <n v="3510"/>
    <x v="267"/>
    <x v="1"/>
    <x v="278"/>
    <x v="0"/>
    <n v="5"/>
    <x v="2"/>
    <x v="1"/>
    <x v="1"/>
    <x v="1"/>
    <n v="0"/>
    <x v="1"/>
    <x v="1"/>
  </r>
  <r>
    <n v="3511"/>
    <x v="268"/>
    <x v="0"/>
    <x v="279"/>
    <x v="1"/>
    <n v="15"/>
    <x v="0"/>
    <x v="0"/>
    <x v="0"/>
    <x v="0"/>
    <n v="20"/>
    <x v="6"/>
    <x v="14"/>
  </r>
  <r>
    <n v="3512"/>
    <x v="269"/>
    <x v="2"/>
    <x v="280"/>
    <x v="0"/>
    <n v="10"/>
    <x v="1"/>
    <x v="1"/>
    <x v="1"/>
    <x v="0"/>
    <n v="20"/>
    <x v="6"/>
    <x v="7"/>
  </r>
  <r>
    <n v="3513"/>
    <x v="270"/>
    <x v="1"/>
    <x v="281"/>
    <x v="1"/>
    <n v="5"/>
    <x v="0"/>
    <x v="1"/>
    <x v="1"/>
    <x v="1"/>
    <n v="0"/>
    <x v="4"/>
    <x v="4"/>
  </r>
  <r>
    <n v="3514"/>
    <x v="271"/>
    <x v="0"/>
    <x v="282"/>
    <x v="0"/>
    <n v="15"/>
    <x v="2"/>
    <x v="0"/>
    <x v="0"/>
    <x v="0"/>
    <n v="20"/>
    <x v="10"/>
    <x v="12"/>
  </r>
  <r>
    <n v="3515"/>
    <x v="130"/>
    <x v="2"/>
    <x v="283"/>
    <x v="1"/>
    <n v="10"/>
    <x v="0"/>
    <x v="1"/>
    <x v="1"/>
    <x v="0"/>
    <n v="20"/>
    <x v="2"/>
    <x v="2"/>
  </r>
  <r>
    <n v="3516"/>
    <x v="131"/>
    <x v="1"/>
    <x v="284"/>
    <x v="0"/>
    <n v="5"/>
    <x v="1"/>
    <x v="1"/>
    <x v="1"/>
    <x v="1"/>
    <n v="0"/>
    <x v="1"/>
    <x v="1"/>
  </r>
  <r>
    <n v="3517"/>
    <x v="181"/>
    <x v="0"/>
    <x v="285"/>
    <x v="1"/>
    <n v="15"/>
    <x v="0"/>
    <x v="0"/>
    <x v="0"/>
    <x v="0"/>
    <n v="20"/>
    <x v="7"/>
    <x v="8"/>
  </r>
  <r>
    <n v="3518"/>
    <x v="272"/>
    <x v="2"/>
    <x v="286"/>
    <x v="0"/>
    <n v="10"/>
    <x v="2"/>
    <x v="1"/>
    <x v="1"/>
    <x v="0"/>
    <n v="20"/>
    <x v="9"/>
    <x v="10"/>
  </r>
  <r>
    <n v="3519"/>
    <x v="273"/>
    <x v="1"/>
    <x v="287"/>
    <x v="1"/>
    <n v="5"/>
    <x v="0"/>
    <x v="1"/>
    <x v="1"/>
    <x v="1"/>
    <n v="0"/>
    <x v="5"/>
    <x v="11"/>
  </r>
  <r>
    <n v="3520"/>
    <x v="274"/>
    <x v="0"/>
    <x v="288"/>
    <x v="0"/>
    <n v="15"/>
    <x v="1"/>
    <x v="0"/>
    <x v="0"/>
    <x v="0"/>
    <n v="20"/>
    <x v="0"/>
    <x v="0"/>
  </r>
  <r>
    <n v="3521"/>
    <x v="275"/>
    <x v="2"/>
    <x v="289"/>
    <x v="1"/>
    <n v="10"/>
    <x v="0"/>
    <x v="1"/>
    <x v="1"/>
    <x v="0"/>
    <n v="20"/>
    <x v="2"/>
    <x v="2"/>
  </r>
  <r>
    <n v="3522"/>
    <x v="276"/>
    <x v="1"/>
    <x v="290"/>
    <x v="0"/>
    <n v="5"/>
    <x v="2"/>
    <x v="1"/>
    <x v="1"/>
    <x v="1"/>
    <n v="0"/>
    <x v="1"/>
    <x v="1"/>
  </r>
  <r>
    <n v="3523"/>
    <x v="277"/>
    <x v="0"/>
    <x v="291"/>
    <x v="1"/>
    <n v="15"/>
    <x v="0"/>
    <x v="0"/>
    <x v="0"/>
    <x v="0"/>
    <n v="20"/>
    <x v="3"/>
    <x v="3"/>
  </r>
  <r>
    <n v="3524"/>
    <x v="278"/>
    <x v="2"/>
    <x v="292"/>
    <x v="0"/>
    <n v="10"/>
    <x v="1"/>
    <x v="1"/>
    <x v="1"/>
    <x v="0"/>
    <n v="20"/>
    <x v="6"/>
    <x v="7"/>
  </r>
  <r>
    <n v="3525"/>
    <x v="279"/>
    <x v="1"/>
    <x v="293"/>
    <x v="1"/>
    <n v="5"/>
    <x v="0"/>
    <x v="1"/>
    <x v="1"/>
    <x v="1"/>
    <n v="0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023A1-41CC-443E-940A-3AD886E65541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C63:D68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Row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</pivotFields>
  <rowFields count="2">
    <field x="6"/>
    <field x="2"/>
  </rowFields>
  <rowItems count="5"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Soma de Coupon Value" fld="11" baseField="0" baseItem="0" numFmtId="44"/>
  </dataFields>
  <formats count="2">
    <format dxfId="1">
      <pivotArea grandRow="1" outline="0" collapsedLevelsAreSubtotals="1" fieldPosition="0"/>
    </format>
    <format dxfId="0">
      <pivotArea outline="0" collapsedLevelsAreSubtotals="1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D4D0F-84EE-49DA-85EE-8183FAB3DA68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53:D55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dataField="1" numFmtId="44" multipleItemSelectionAllowed="1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6"/>
  </rowFields>
  <rowItems count="2">
    <i>
      <x v="1"/>
    </i>
    <i t="grand">
      <x/>
    </i>
  </rowItems>
  <colItems count="1">
    <i/>
  </colItems>
  <dataFields count="1">
    <dataField name="Soma de Coupon Value" fld="11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F9AA3-4A06-4580-BDD1-61E4649A2DAE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38:D45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2">
    <field x="2"/>
    <field x="6"/>
  </rowFields>
  <rowItems count="7">
    <i>
      <x/>
    </i>
    <i r="1">
      <x v="1"/>
    </i>
    <i>
      <x v="1"/>
    </i>
    <i r="1">
      <x v="1"/>
    </i>
    <i>
      <x v="2"/>
    </i>
    <i r="1">
      <x v="1"/>
    </i>
    <i t="grand">
      <x/>
    </i>
  </rowItems>
  <colItems count="1">
    <i/>
  </colItems>
  <dataFields count="1">
    <dataField name="Soma de Minecraft Season Pass Price" fld="10" baseField="0" baseItem="0"/>
  </dataFields>
  <formats count="1">
    <format dxfId="3">
      <pivotArea grandRow="1"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A2507-5C21-4C40-8BC5-DBC1A14FBB0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28:D35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2">
    <field x="2"/>
    <field x="6"/>
  </rowFields>
  <rowItems count="7">
    <i>
      <x/>
    </i>
    <i r="1">
      <x v="1"/>
    </i>
    <i>
      <x v="1"/>
    </i>
    <i r="1">
      <x v="1"/>
    </i>
    <i>
      <x v="2"/>
    </i>
    <i r="1">
      <x v="1"/>
    </i>
    <i t="grand">
      <x/>
    </i>
  </rowItems>
  <colItems count="1">
    <i/>
  </colItems>
  <dataFields count="1">
    <dataField name="Soma de EA Play Season Pass" fld="8" baseField="2" baseItem="1"/>
  </dataFields>
  <formats count="1">
    <format dxfId="4">
      <pivotArea grandRow="1"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EFA71-BB12-436B-ABE3-6D298B783BE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C7:D1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formats count="2">
    <format dxfId="5">
      <pivotArea collapsedLevelsAreSubtotals="1" fieldPosition="0">
        <references count="1">
          <reference field="4" count="0"/>
        </references>
      </pivotArea>
    </format>
    <format dxfId="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7665443-A98E-447C-920E-AF582630AAB9}" sourceName="Subscription Type">
  <pivotTables>
    <pivotTable tabId="3" name="Tabela dinâmica2"/>
    <pivotTable tabId="3" name="Tabela dinâmica1"/>
    <pivotTable tabId="3" name="Tabela dinâmica3"/>
    <pivotTable tabId="3" name="Tabela dinâmica5"/>
    <pivotTable tabId="3" name="Tabela dinâmica6"/>
  </pivotTables>
  <data>
    <tabular pivotCacheId="1951221894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A5EF97B-3757-40CB-9550-182263AF6C6C}" cache="SegmentaçãodeDados_Subscription_Type" caption="Subscription Type" style="SlicerStyleLight6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808519CC-6B70-476B-BC3B-75AB61419820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0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9"/>
    <tableColumn id="2" xr3:uid="{53DD39D0-2220-4121-9E9D-4EAA7E151C0F}" name="Name" dataDxfId="18"/>
    <tableColumn id="3" xr3:uid="{4F5FF271-4C57-4BE0-8F2C-F82C8551625C}" name="Plan" dataDxfId="17"/>
    <tableColumn id="4" xr3:uid="{8C17EB93-79B9-4E55-B8F7-BEB82F8253E9}" name="Start Date" dataDxfId="16"/>
    <tableColumn id="5" xr3:uid="{48CEDF9B-1689-482A-A828-5CCE7713264A}" name="Auto Renewal" dataDxfId="15"/>
    <tableColumn id="6" xr3:uid="{78B82374-9AA7-4E38-AE4F-78CDE6C83720}" name="Subscription Price" dataDxfId="14" dataCellStyle="Moeda"/>
    <tableColumn id="7" xr3:uid="{F2433F68-AF33-49D0-B1FB-19A396074EDE}" name="Subscription Type" dataDxfId="13"/>
    <tableColumn id="8" xr3:uid="{FD4D9C95-F6E5-4933-9068-A71FF7DF9343}" name="EA Play Season Pass" dataDxfId="12"/>
    <tableColumn id="13" xr3:uid="{978DD0D2-834E-4CE4-A39B-30976086932F}" name="EA Play Season Pass_x000a_Price" dataDxfId="11" dataCellStyle="Moeda"/>
    <tableColumn id="9" xr3:uid="{6E29F111-C395-4580-9DAD-3407D9E8B1A4}" name="Minecraft Season Pass" dataDxfId="10"/>
    <tableColumn id="10" xr3:uid="{EF544EAA-7F25-4FD5-A10E-8E62804DB9E3}" name="Minecraft Season Pass Price" dataDxfId="9" dataCellStyle="Moeda"/>
    <tableColumn id="11" xr3:uid="{7F6EB64A-1F07-4E48-9F0F-AC7D9DCD26F8}" name="Coupon Value" dataDxfId="8" dataCellStyle="Moeda"/>
    <tableColumn id="12" xr3:uid="{2B04ABC8-DE6F-426E-ADC0-D8AFC68CA58E}" name="Total Value" dataDxfId="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0B050"/>
      </a:accent1>
      <a:accent2>
        <a:srgbClr val="C1F0C8"/>
      </a:accent2>
      <a:accent3>
        <a:srgbClr val="12501B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115" zoomScaleNormal="115" workbookViewId="0">
      <selection activeCell="B6" sqref="B6"/>
    </sheetView>
  </sheetViews>
  <sheetFormatPr defaultRowHeight="15"/>
  <cols>
    <col min="1" max="1" width="17.85546875" bestFit="1" customWidth="1"/>
    <col min="2" max="2" width="18.85546875" bestFit="1" customWidth="1"/>
    <col min="3" max="3" width="10" bestFit="1" customWidth="1"/>
    <col min="4" max="4" width="14.5703125" style="15" bestFit="1" customWidth="1"/>
    <col min="5" max="5" width="18" bestFit="1" customWidth="1"/>
    <col min="6" max="6" width="17.42578125" style="13" bestFit="1" customWidth="1"/>
    <col min="7" max="7" width="22" bestFit="1" customWidth="1"/>
    <col min="8" max="8" width="20.5703125" bestFit="1" customWidth="1"/>
    <col min="9" max="9" width="24.28515625" style="13" bestFit="1" customWidth="1"/>
    <col min="10" max="10" width="21.28515625" bestFit="1" customWidth="1"/>
    <col min="11" max="11" width="25.85546875" style="13" bestFit="1" customWidth="1"/>
    <col min="12" max="12" width="13.28515625" bestFit="1" customWidth="1"/>
    <col min="13" max="13" width="11.140625" style="13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14" t="s">
        <v>14</v>
      </c>
      <c r="E1" s="9" t="s">
        <v>15</v>
      </c>
      <c r="F1" s="12" t="s">
        <v>312</v>
      </c>
      <c r="G1" s="9" t="s">
        <v>16</v>
      </c>
      <c r="H1" s="9" t="s">
        <v>309</v>
      </c>
      <c r="I1" s="12" t="s">
        <v>310</v>
      </c>
      <c r="J1" s="9" t="s">
        <v>30</v>
      </c>
      <c r="K1" s="12" t="s">
        <v>31</v>
      </c>
      <c r="L1" s="12" t="s">
        <v>32</v>
      </c>
      <c r="M1" s="12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1:F579"/>
  <sheetViews>
    <sheetView showGridLines="0" topLeftCell="A46" workbookViewId="0">
      <selection activeCell="D64" sqref="D64:D68"/>
    </sheetView>
  </sheetViews>
  <sheetFormatPr defaultRowHeight="15"/>
  <cols>
    <col min="3" max="3" width="18.42578125" bestFit="1" customWidth="1"/>
    <col min="4" max="4" width="22.140625" style="13" bestFit="1" customWidth="1"/>
    <col min="5" max="5" width="8.28515625" bestFit="1" customWidth="1"/>
    <col min="6" max="6" width="9.42578125" bestFit="1" customWidth="1"/>
    <col min="7" max="7" width="10.7109375" bestFit="1" customWidth="1"/>
    <col min="8" max="8" width="10.85546875" bestFit="1" customWidth="1"/>
    <col min="9" max="9" width="8.28515625" bestFit="1" customWidth="1"/>
    <col min="10" max="10" width="9.42578125" bestFit="1" customWidth="1"/>
    <col min="11" max="11" width="14" bestFit="1" customWidth="1"/>
    <col min="12" max="12" width="10.5703125" bestFit="1" customWidth="1"/>
    <col min="13" max="13" width="8.28515625" bestFit="1" customWidth="1"/>
    <col min="14" max="14" width="9.42578125" bestFit="1" customWidth="1"/>
    <col min="15" max="15" width="13.7109375" bestFit="1" customWidth="1"/>
    <col min="16" max="16" width="10.7109375" bestFit="1" customWidth="1"/>
    <col min="17" max="17" width="12.140625" bestFit="1" customWidth="1"/>
  </cols>
  <sheetData>
    <row r="1" spans="3:4">
      <c r="C1" t="s">
        <v>317</v>
      </c>
    </row>
    <row r="2" spans="3:4">
      <c r="C2" t="s">
        <v>318</v>
      </c>
    </row>
    <row r="5" spans="3:4">
      <c r="C5" s="16" t="s">
        <v>16</v>
      </c>
      <c r="D5" t="s">
        <v>20</v>
      </c>
    </row>
    <row r="7" spans="3:4">
      <c r="C7" s="16" t="s">
        <v>313</v>
      </c>
      <c r="D7" t="s">
        <v>315</v>
      </c>
    </row>
    <row r="8" spans="3:4">
      <c r="C8" s="17" t="s">
        <v>23</v>
      </c>
      <c r="D8" s="23">
        <v>2824</v>
      </c>
    </row>
    <row r="9" spans="3:4">
      <c r="C9" s="17" t="s">
        <v>19</v>
      </c>
      <c r="D9" s="23">
        <v>747</v>
      </c>
    </row>
    <row r="10" spans="3:4">
      <c r="C10" s="17" t="s">
        <v>314</v>
      </c>
      <c r="D10" s="23">
        <v>3571</v>
      </c>
    </row>
    <row r="11" spans="3:4">
      <c r="D11"/>
    </row>
    <row r="12" spans="3:4">
      <c r="D12"/>
    </row>
    <row r="13" spans="3:4">
      <c r="D13"/>
    </row>
    <row r="14" spans="3:4">
      <c r="D14"/>
    </row>
    <row r="15" spans="3:4">
      <c r="D15"/>
    </row>
    <row r="16" spans="3:4">
      <c r="D16"/>
    </row>
    <row r="17" spans="3:6">
      <c r="D17"/>
    </row>
    <row r="18" spans="3:6">
      <c r="D18"/>
    </row>
    <row r="19" spans="3:6">
      <c r="D19"/>
    </row>
    <row r="20" spans="3:6">
      <c r="D20"/>
    </row>
    <row r="21" spans="3:6">
      <c r="D21"/>
    </row>
    <row r="22" spans="3:6">
      <c r="D22"/>
    </row>
    <row r="23" spans="3:6">
      <c r="D23"/>
    </row>
    <row r="24" spans="3:6">
      <c r="D24"/>
    </row>
    <row r="25" spans="3:6">
      <c r="D25"/>
    </row>
    <row r="26" spans="3:6">
      <c r="D26"/>
    </row>
    <row r="28" spans="3:6">
      <c r="C28" s="16" t="s">
        <v>313</v>
      </c>
      <c r="D28" t="s">
        <v>319</v>
      </c>
    </row>
    <row r="29" spans="3:6">
      <c r="C29" s="17" t="s">
        <v>22</v>
      </c>
      <c r="D29" s="18">
        <v>0</v>
      </c>
    </row>
    <row r="30" spans="3:6">
      <c r="C30" s="19" t="s">
        <v>20</v>
      </c>
      <c r="D30" s="18">
        <v>0</v>
      </c>
    </row>
    <row r="31" spans="3:6">
      <c r="C31" s="17" t="s">
        <v>26</v>
      </c>
      <c r="D31" s="18">
        <v>0</v>
      </c>
    </row>
    <row r="32" spans="3:6">
      <c r="C32" s="19" t="s">
        <v>20</v>
      </c>
      <c r="D32" s="18">
        <v>0</v>
      </c>
      <c r="F32" s="13">
        <f>GETPIVOTDATA("EA Play Season Pass
Price",$C$28)</f>
        <v>1350</v>
      </c>
    </row>
    <row r="33" spans="3:6">
      <c r="C33" s="17" t="s">
        <v>18</v>
      </c>
      <c r="D33" s="18">
        <v>1350</v>
      </c>
    </row>
    <row r="34" spans="3:6">
      <c r="C34" s="19" t="s">
        <v>20</v>
      </c>
      <c r="D34" s="18">
        <v>1350</v>
      </c>
    </row>
    <row r="35" spans="3:6">
      <c r="C35" s="17" t="s">
        <v>314</v>
      </c>
      <c r="D35" s="23">
        <v>1350</v>
      </c>
    </row>
    <row r="36" spans="3:6">
      <c r="D36"/>
    </row>
    <row r="37" spans="3:6">
      <c r="D37"/>
    </row>
    <row r="38" spans="3:6">
      <c r="C38" s="16" t="s">
        <v>313</v>
      </c>
      <c r="D38" t="s">
        <v>320</v>
      </c>
    </row>
    <row r="39" spans="3:6">
      <c r="C39" s="17" t="s">
        <v>22</v>
      </c>
      <c r="D39" s="18">
        <v>0</v>
      </c>
    </row>
    <row r="40" spans="3:6">
      <c r="C40" s="19" t="s">
        <v>20</v>
      </c>
      <c r="D40" s="18">
        <v>0</v>
      </c>
    </row>
    <row r="41" spans="3:6">
      <c r="C41" s="17" t="s">
        <v>26</v>
      </c>
      <c r="D41" s="18">
        <v>900</v>
      </c>
    </row>
    <row r="42" spans="3:6">
      <c r="C42" s="19" t="s">
        <v>20</v>
      </c>
      <c r="D42" s="18">
        <v>900</v>
      </c>
    </row>
    <row r="43" spans="3:6">
      <c r="C43" s="17" t="s">
        <v>18</v>
      </c>
      <c r="D43" s="18">
        <v>900</v>
      </c>
    </row>
    <row r="44" spans="3:6">
      <c r="C44" s="19" t="s">
        <v>20</v>
      </c>
      <c r="D44" s="18">
        <v>900</v>
      </c>
    </row>
    <row r="45" spans="3:6">
      <c r="C45" s="17" t="s">
        <v>314</v>
      </c>
      <c r="D45" s="23">
        <v>1800</v>
      </c>
      <c r="F45" s="13">
        <f>GETPIVOTDATA("Minecraft Season Pass Price",$C$38)</f>
        <v>1800</v>
      </c>
    </row>
    <row r="46" spans="3:6">
      <c r="D46"/>
    </row>
    <row r="47" spans="3:6">
      <c r="D47"/>
    </row>
    <row r="48" spans="3:6">
      <c r="C48" t="s">
        <v>321</v>
      </c>
      <c r="D48"/>
    </row>
    <row r="49" spans="3:6">
      <c r="C49" t="s">
        <v>322</v>
      </c>
      <c r="D49"/>
    </row>
    <row r="50" spans="3:6">
      <c r="D50"/>
    </row>
    <row r="51" spans="3:6">
      <c r="D51"/>
    </row>
    <row r="52" spans="3:6">
      <c r="D52"/>
    </row>
    <row r="53" spans="3:6">
      <c r="C53" s="16" t="s">
        <v>313</v>
      </c>
      <c r="D53" t="s">
        <v>323</v>
      </c>
    </row>
    <row r="54" spans="3:6">
      <c r="C54" s="17" t="s">
        <v>20</v>
      </c>
      <c r="D54" s="23">
        <v>949</v>
      </c>
    </row>
    <row r="55" spans="3:6">
      <c r="C55" s="17" t="s">
        <v>314</v>
      </c>
      <c r="D55" s="23">
        <v>949</v>
      </c>
    </row>
    <row r="56" spans="3:6">
      <c r="D56"/>
    </row>
    <row r="57" spans="3:6">
      <c r="D57"/>
      <c r="F57">
        <f>GETPIVOTDATA("Coupon Value",$C$53)</f>
        <v>949</v>
      </c>
    </row>
    <row r="58" spans="3:6">
      <c r="D58"/>
    </row>
    <row r="59" spans="3:6">
      <c r="D59"/>
    </row>
    <row r="60" spans="3:6">
      <c r="D60"/>
    </row>
    <row r="61" spans="3:6">
      <c r="D61"/>
    </row>
    <row r="63" spans="3:6">
      <c r="C63" s="16" t="s">
        <v>313</v>
      </c>
      <c r="D63" t="s">
        <v>323</v>
      </c>
    </row>
    <row r="64" spans="3:6">
      <c r="C64" s="17" t="s">
        <v>20</v>
      </c>
      <c r="D64" s="23">
        <v>949</v>
      </c>
    </row>
    <row r="65" spans="3:4">
      <c r="C65" s="19" t="s">
        <v>22</v>
      </c>
      <c r="D65" s="23">
        <v>53</v>
      </c>
    </row>
    <row r="66" spans="3:4">
      <c r="C66" s="19" t="s">
        <v>26</v>
      </c>
      <c r="D66" s="23">
        <v>392</v>
      </c>
    </row>
    <row r="67" spans="3:4">
      <c r="C67" s="19" t="s">
        <v>18</v>
      </c>
      <c r="D67" s="23">
        <v>504</v>
      </c>
    </row>
    <row r="68" spans="3:4">
      <c r="C68" s="17" t="s">
        <v>314</v>
      </c>
      <c r="D68" s="28">
        <v>949</v>
      </c>
    </row>
    <row r="70" spans="3:4">
      <c r="D70"/>
    </row>
    <row r="71" spans="3:4">
      <c r="D71"/>
    </row>
    <row r="72" spans="3:4">
      <c r="D72"/>
    </row>
    <row r="73" spans="3:4">
      <c r="D73"/>
    </row>
    <row r="74" spans="3:4">
      <c r="D74"/>
    </row>
    <row r="75" spans="3:4">
      <c r="D75"/>
    </row>
    <row r="76" spans="3:4">
      <c r="D76"/>
    </row>
    <row r="77" spans="3:4">
      <c r="D77"/>
    </row>
    <row r="78" spans="3:4">
      <c r="D78"/>
    </row>
    <row r="79" spans="3:4">
      <c r="D79"/>
    </row>
    <row r="80" spans="3:4">
      <c r="D80"/>
    </row>
    <row r="81" spans="4:4">
      <c r="D81"/>
    </row>
    <row r="82" spans="4:4">
      <c r="D82"/>
    </row>
    <row r="83" spans="4:4">
      <c r="D83"/>
    </row>
    <row r="84" spans="4:4">
      <c r="D84"/>
    </row>
    <row r="85" spans="4:4">
      <c r="D85"/>
    </row>
    <row r="86" spans="4:4">
      <c r="D86"/>
    </row>
    <row r="87" spans="4:4">
      <c r="D87"/>
    </row>
    <row r="88" spans="4:4">
      <c r="D88"/>
    </row>
    <row r="89" spans="4:4">
      <c r="D89"/>
    </row>
    <row r="90" spans="4:4">
      <c r="D90"/>
    </row>
    <row r="91" spans="4:4">
      <c r="D91"/>
    </row>
    <row r="92" spans="4:4">
      <c r="D92"/>
    </row>
    <row r="93" spans="4:4">
      <c r="D93"/>
    </row>
    <row r="94" spans="4:4">
      <c r="D94"/>
    </row>
    <row r="95" spans="4:4">
      <c r="D95"/>
    </row>
    <row r="96" spans="4:4">
      <c r="D96"/>
    </row>
    <row r="97" spans="4:4">
      <c r="D97"/>
    </row>
    <row r="98" spans="4:4">
      <c r="D98"/>
    </row>
    <row r="99" spans="4:4">
      <c r="D99"/>
    </row>
    <row r="100" spans="4:4">
      <c r="D100"/>
    </row>
    <row r="101" spans="4:4">
      <c r="D101"/>
    </row>
    <row r="102" spans="4:4">
      <c r="D102"/>
    </row>
    <row r="103" spans="4:4">
      <c r="D103"/>
    </row>
    <row r="104" spans="4:4">
      <c r="D104"/>
    </row>
    <row r="105" spans="4:4">
      <c r="D105"/>
    </row>
    <row r="106" spans="4:4">
      <c r="D106"/>
    </row>
    <row r="107" spans="4:4">
      <c r="D107"/>
    </row>
    <row r="108" spans="4:4">
      <c r="D108"/>
    </row>
    <row r="109" spans="4:4">
      <c r="D109"/>
    </row>
    <row r="110" spans="4:4">
      <c r="D110"/>
    </row>
    <row r="111" spans="4:4">
      <c r="D111"/>
    </row>
    <row r="112" spans="4:4">
      <c r="D112"/>
    </row>
    <row r="113" spans="4:4">
      <c r="D113"/>
    </row>
    <row r="114" spans="4:4">
      <c r="D114"/>
    </row>
    <row r="115" spans="4:4">
      <c r="D115"/>
    </row>
    <row r="116" spans="4:4">
      <c r="D116"/>
    </row>
    <row r="117" spans="4:4">
      <c r="D117"/>
    </row>
    <row r="118" spans="4:4">
      <c r="D118"/>
    </row>
    <row r="119" spans="4:4">
      <c r="D119"/>
    </row>
    <row r="120" spans="4:4">
      <c r="D120"/>
    </row>
    <row r="121" spans="4:4">
      <c r="D121"/>
    </row>
    <row r="122" spans="4:4">
      <c r="D122"/>
    </row>
    <row r="123" spans="4:4">
      <c r="D123"/>
    </row>
    <row r="124" spans="4:4">
      <c r="D124"/>
    </row>
    <row r="125" spans="4:4">
      <c r="D125"/>
    </row>
    <row r="126" spans="4:4">
      <c r="D126"/>
    </row>
    <row r="127" spans="4:4">
      <c r="D127"/>
    </row>
    <row r="128" spans="4:4">
      <c r="D128"/>
    </row>
    <row r="129" spans="4:4">
      <c r="D129"/>
    </row>
    <row r="130" spans="4:4">
      <c r="D130"/>
    </row>
    <row r="131" spans="4:4">
      <c r="D131"/>
    </row>
    <row r="132" spans="4:4">
      <c r="D132"/>
    </row>
    <row r="133" spans="4:4">
      <c r="D133"/>
    </row>
    <row r="134" spans="4:4">
      <c r="D134"/>
    </row>
    <row r="135" spans="4:4">
      <c r="D135"/>
    </row>
    <row r="136" spans="4:4">
      <c r="D136"/>
    </row>
    <row r="137" spans="4:4">
      <c r="D137"/>
    </row>
    <row r="138" spans="4:4">
      <c r="D138"/>
    </row>
    <row r="139" spans="4:4">
      <c r="D139"/>
    </row>
    <row r="140" spans="4:4">
      <c r="D140"/>
    </row>
    <row r="141" spans="4:4">
      <c r="D141"/>
    </row>
    <row r="142" spans="4:4">
      <c r="D142"/>
    </row>
    <row r="143" spans="4:4">
      <c r="D143"/>
    </row>
    <row r="144" spans="4:4">
      <c r="D144"/>
    </row>
    <row r="145" spans="4:4">
      <c r="D145"/>
    </row>
    <row r="146" spans="4:4">
      <c r="D146"/>
    </row>
    <row r="147" spans="4:4">
      <c r="D147"/>
    </row>
    <row r="148" spans="4:4">
      <c r="D148"/>
    </row>
    <row r="149" spans="4:4">
      <c r="D149"/>
    </row>
    <row r="150" spans="4:4">
      <c r="D150"/>
    </row>
    <row r="151" spans="4:4">
      <c r="D151"/>
    </row>
    <row r="152" spans="4:4">
      <c r="D152"/>
    </row>
    <row r="153" spans="4:4">
      <c r="D153"/>
    </row>
    <row r="154" spans="4:4">
      <c r="D154"/>
    </row>
    <row r="155" spans="4:4">
      <c r="D155"/>
    </row>
    <row r="156" spans="4:4">
      <c r="D156"/>
    </row>
    <row r="157" spans="4:4">
      <c r="D157"/>
    </row>
    <row r="158" spans="4:4">
      <c r="D158"/>
    </row>
    <row r="159" spans="4:4">
      <c r="D159"/>
    </row>
    <row r="160" spans="4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  <row r="189" spans="4:4">
      <c r="D189"/>
    </row>
    <row r="190" spans="4:4">
      <c r="D190"/>
    </row>
    <row r="191" spans="4:4">
      <c r="D191"/>
    </row>
    <row r="192" spans="4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  <row r="199" spans="4:4">
      <c r="D199"/>
    </row>
    <row r="200" spans="4:4">
      <c r="D200"/>
    </row>
    <row r="201" spans="4:4">
      <c r="D201"/>
    </row>
    <row r="202" spans="4:4">
      <c r="D202"/>
    </row>
    <row r="203" spans="4:4">
      <c r="D203"/>
    </row>
    <row r="204" spans="4:4">
      <c r="D204"/>
    </row>
    <row r="205" spans="4:4">
      <c r="D205"/>
    </row>
    <row r="206" spans="4:4">
      <c r="D206"/>
    </row>
    <row r="207" spans="4:4">
      <c r="D207"/>
    </row>
    <row r="208" spans="4:4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  <row r="280" spans="4:4">
      <c r="D280"/>
    </row>
    <row r="281" spans="4:4">
      <c r="D281"/>
    </row>
    <row r="282" spans="4:4">
      <c r="D282"/>
    </row>
    <row r="283" spans="4:4">
      <c r="D283"/>
    </row>
    <row r="284" spans="4:4">
      <c r="D284"/>
    </row>
    <row r="285" spans="4:4">
      <c r="D285"/>
    </row>
    <row r="286" spans="4:4">
      <c r="D286"/>
    </row>
    <row r="287" spans="4:4">
      <c r="D287"/>
    </row>
    <row r="288" spans="4:4">
      <c r="D288"/>
    </row>
    <row r="289" spans="4:4">
      <c r="D289"/>
    </row>
    <row r="290" spans="4:4">
      <c r="D290"/>
    </row>
    <row r="291" spans="4:4">
      <c r="D291"/>
    </row>
    <row r="292" spans="4:4">
      <c r="D292"/>
    </row>
    <row r="293" spans="4:4">
      <c r="D293"/>
    </row>
    <row r="294" spans="4:4">
      <c r="D294"/>
    </row>
    <row r="295" spans="4:4">
      <c r="D295"/>
    </row>
    <row r="296" spans="4:4">
      <c r="D296"/>
    </row>
    <row r="297" spans="4:4">
      <c r="D297"/>
    </row>
    <row r="298" spans="4:4">
      <c r="D298"/>
    </row>
    <row r="299" spans="4:4">
      <c r="D299"/>
    </row>
    <row r="300" spans="4:4">
      <c r="D300"/>
    </row>
    <row r="301" spans="4:4">
      <c r="D301"/>
    </row>
    <row r="302" spans="4:4">
      <c r="D302"/>
    </row>
    <row r="303" spans="4:4">
      <c r="D303"/>
    </row>
    <row r="304" spans="4:4">
      <c r="D304"/>
    </row>
    <row r="305" spans="4:4">
      <c r="D305"/>
    </row>
    <row r="306" spans="4:4">
      <c r="D306"/>
    </row>
    <row r="307" spans="4:4">
      <c r="D307"/>
    </row>
    <row r="308" spans="4:4">
      <c r="D308"/>
    </row>
    <row r="309" spans="4:4">
      <c r="D309"/>
    </row>
    <row r="310" spans="4:4">
      <c r="D310"/>
    </row>
    <row r="311" spans="4:4">
      <c r="D311"/>
    </row>
    <row r="312" spans="4:4">
      <c r="D312"/>
    </row>
    <row r="313" spans="4:4">
      <c r="D313"/>
    </row>
    <row r="314" spans="4:4">
      <c r="D314"/>
    </row>
    <row r="315" spans="4:4">
      <c r="D315"/>
    </row>
    <row r="316" spans="4:4">
      <c r="D316"/>
    </row>
    <row r="317" spans="4:4">
      <c r="D317"/>
    </row>
    <row r="318" spans="4:4">
      <c r="D318"/>
    </row>
    <row r="319" spans="4:4">
      <c r="D319"/>
    </row>
    <row r="320" spans="4:4">
      <c r="D320"/>
    </row>
    <row r="321" spans="4:4">
      <c r="D321"/>
    </row>
    <row r="322" spans="4:4">
      <c r="D322"/>
    </row>
    <row r="323" spans="4:4">
      <c r="D323"/>
    </row>
    <row r="324" spans="4:4">
      <c r="D324"/>
    </row>
    <row r="325" spans="4:4">
      <c r="D325"/>
    </row>
    <row r="326" spans="4:4">
      <c r="D326"/>
    </row>
    <row r="327" spans="4:4">
      <c r="D327"/>
    </row>
    <row r="328" spans="4:4">
      <c r="D328"/>
    </row>
    <row r="329" spans="4:4">
      <c r="D329"/>
    </row>
    <row r="330" spans="4:4">
      <c r="D330"/>
    </row>
    <row r="331" spans="4:4">
      <c r="D331"/>
    </row>
    <row r="332" spans="4:4">
      <c r="D332"/>
    </row>
    <row r="333" spans="4:4">
      <c r="D333"/>
    </row>
    <row r="334" spans="4:4">
      <c r="D334"/>
    </row>
    <row r="335" spans="4:4">
      <c r="D335"/>
    </row>
    <row r="336" spans="4:4">
      <c r="D336"/>
    </row>
    <row r="337" spans="4:4">
      <c r="D337"/>
    </row>
    <row r="338" spans="4:4">
      <c r="D338"/>
    </row>
    <row r="339" spans="4:4">
      <c r="D339"/>
    </row>
    <row r="340" spans="4:4">
      <c r="D340"/>
    </row>
    <row r="341" spans="4:4">
      <c r="D341"/>
    </row>
    <row r="342" spans="4:4">
      <c r="D342"/>
    </row>
    <row r="343" spans="4:4">
      <c r="D343"/>
    </row>
    <row r="344" spans="4:4">
      <c r="D344"/>
    </row>
    <row r="345" spans="4:4">
      <c r="D345"/>
    </row>
    <row r="346" spans="4:4">
      <c r="D346"/>
    </row>
    <row r="347" spans="4:4">
      <c r="D347"/>
    </row>
    <row r="348" spans="4:4">
      <c r="D348"/>
    </row>
    <row r="349" spans="4:4">
      <c r="D349"/>
    </row>
    <row r="350" spans="4:4">
      <c r="D350"/>
    </row>
    <row r="351" spans="4:4">
      <c r="D351"/>
    </row>
    <row r="352" spans="4:4">
      <c r="D352"/>
    </row>
    <row r="353" spans="4:4">
      <c r="D353"/>
    </row>
    <row r="354" spans="4:4">
      <c r="D354"/>
    </row>
    <row r="355" spans="4:4">
      <c r="D355"/>
    </row>
    <row r="356" spans="4:4">
      <c r="D356"/>
    </row>
    <row r="357" spans="4:4">
      <c r="D357"/>
    </row>
    <row r="358" spans="4:4">
      <c r="D358"/>
    </row>
    <row r="359" spans="4:4">
      <c r="D359"/>
    </row>
    <row r="360" spans="4:4">
      <c r="D360"/>
    </row>
    <row r="361" spans="4:4">
      <c r="D361"/>
    </row>
    <row r="362" spans="4:4">
      <c r="D362"/>
    </row>
    <row r="363" spans="4:4">
      <c r="D363"/>
    </row>
    <row r="364" spans="4:4">
      <c r="D364"/>
    </row>
    <row r="365" spans="4:4">
      <c r="D365"/>
    </row>
    <row r="366" spans="4:4">
      <c r="D366"/>
    </row>
    <row r="367" spans="4:4">
      <c r="D367"/>
    </row>
    <row r="368" spans="4:4">
      <c r="D368"/>
    </row>
    <row r="369" spans="4:4">
      <c r="D369"/>
    </row>
    <row r="370" spans="4:4">
      <c r="D370"/>
    </row>
    <row r="371" spans="4:4">
      <c r="D371"/>
    </row>
    <row r="372" spans="4:4">
      <c r="D372"/>
    </row>
    <row r="373" spans="4:4">
      <c r="D373"/>
    </row>
    <row r="374" spans="4:4">
      <c r="D374"/>
    </row>
    <row r="375" spans="4:4">
      <c r="D375"/>
    </row>
    <row r="376" spans="4:4">
      <c r="D376"/>
    </row>
    <row r="377" spans="4:4">
      <c r="D377"/>
    </row>
    <row r="378" spans="4:4">
      <c r="D378"/>
    </row>
    <row r="379" spans="4:4">
      <c r="D379"/>
    </row>
    <row r="380" spans="4:4">
      <c r="D380"/>
    </row>
    <row r="381" spans="4:4">
      <c r="D381"/>
    </row>
    <row r="382" spans="4:4">
      <c r="D382"/>
    </row>
    <row r="383" spans="4:4">
      <c r="D383"/>
    </row>
    <row r="384" spans="4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  <row r="391" spans="4:4">
      <c r="D391"/>
    </row>
    <row r="392" spans="4:4">
      <c r="D392"/>
    </row>
    <row r="393" spans="4:4">
      <c r="D393"/>
    </row>
    <row r="394" spans="4:4">
      <c r="D394"/>
    </row>
    <row r="395" spans="4:4">
      <c r="D395"/>
    </row>
    <row r="396" spans="4:4">
      <c r="D396"/>
    </row>
    <row r="397" spans="4:4">
      <c r="D397"/>
    </row>
    <row r="398" spans="4:4">
      <c r="D398"/>
    </row>
    <row r="399" spans="4:4">
      <c r="D399"/>
    </row>
    <row r="400" spans="4:4">
      <c r="D400"/>
    </row>
    <row r="401" spans="4:4">
      <c r="D401"/>
    </row>
    <row r="402" spans="4:4">
      <c r="D402"/>
    </row>
    <row r="403" spans="4:4">
      <c r="D403"/>
    </row>
    <row r="404" spans="4:4">
      <c r="D404"/>
    </row>
    <row r="405" spans="4:4">
      <c r="D405"/>
    </row>
    <row r="406" spans="4:4">
      <c r="D406"/>
    </row>
    <row r="407" spans="4:4">
      <c r="D407"/>
    </row>
    <row r="408" spans="4:4">
      <c r="D408"/>
    </row>
    <row r="409" spans="4:4">
      <c r="D409"/>
    </row>
    <row r="410" spans="4:4">
      <c r="D410"/>
    </row>
    <row r="411" spans="4:4">
      <c r="D411"/>
    </row>
    <row r="412" spans="4:4">
      <c r="D412"/>
    </row>
    <row r="413" spans="4:4">
      <c r="D413"/>
    </row>
    <row r="414" spans="4:4">
      <c r="D414"/>
    </row>
    <row r="415" spans="4:4">
      <c r="D415"/>
    </row>
    <row r="416" spans="4:4">
      <c r="D416"/>
    </row>
    <row r="417" spans="4:4">
      <c r="D417"/>
    </row>
    <row r="418" spans="4:4">
      <c r="D418"/>
    </row>
    <row r="419" spans="4:4">
      <c r="D419"/>
    </row>
    <row r="420" spans="4:4">
      <c r="D420"/>
    </row>
    <row r="421" spans="4:4">
      <c r="D421"/>
    </row>
    <row r="422" spans="4:4">
      <c r="D422"/>
    </row>
    <row r="423" spans="4:4">
      <c r="D423"/>
    </row>
    <row r="424" spans="4:4">
      <c r="D424"/>
    </row>
    <row r="425" spans="4:4">
      <c r="D425"/>
    </row>
    <row r="426" spans="4:4">
      <c r="D426"/>
    </row>
    <row r="427" spans="4:4">
      <c r="D427"/>
    </row>
    <row r="428" spans="4:4">
      <c r="D428"/>
    </row>
    <row r="429" spans="4:4">
      <c r="D429"/>
    </row>
    <row r="430" spans="4:4">
      <c r="D430"/>
    </row>
    <row r="431" spans="4:4">
      <c r="D431"/>
    </row>
    <row r="432" spans="4:4">
      <c r="D432"/>
    </row>
    <row r="433" spans="4:4">
      <c r="D433"/>
    </row>
    <row r="434" spans="4:4">
      <c r="D434"/>
    </row>
    <row r="435" spans="4:4">
      <c r="D435"/>
    </row>
    <row r="436" spans="4:4">
      <c r="D436"/>
    </row>
    <row r="437" spans="4:4">
      <c r="D437"/>
    </row>
    <row r="438" spans="4:4">
      <c r="D438"/>
    </row>
    <row r="439" spans="4:4">
      <c r="D439"/>
    </row>
    <row r="440" spans="4:4">
      <c r="D440"/>
    </row>
    <row r="441" spans="4:4">
      <c r="D441"/>
    </row>
    <row r="442" spans="4:4">
      <c r="D442"/>
    </row>
    <row r="443" spans="4:4">
      <c r="D443"/>
    </row>
    <row r="444" spans="4:4">
      <c r="D444"/>
    </row>
    <row r="445" spans="4:4">
      <c r="D445"/>
    </row>
    <row r="446" spans="4:4">
      <c r="D446"/>
    </row>
    <row r="447" spans="4:4">
      <c r="D447"/>
    </row>
    <row r="448" spans="4:4">
      <c r="D448"/>
    </row>
    <row r="449" spans="4:4">
      <c r="D449"/>
    </row>
    <row r="450" spans="4:4">
      <c r="D450"/>
    </row>
    <row r="451" spans="4:4">
      <c r="D451"/>
    </row>
    <row r="452" spans="4:4">
      <c r="D452"/>
    </row>
    <row r="453" spans="4:4">
      <c r="D453"/>
    </row>
    <row r="454" spans="4:4">
      <c r="D454"/>
    </row>
    <row r="455" spans="4:4">
      <c r="D455"/>
    </row>
    <row r="456" spans="4:4">
      <c r="D456"/>
    </row>
    <row r="457" spans="4:4">
      <c r="D457"/>
    </row>
    <row r="458" spans="4:4">
      <c r="D458"/>
    </row>
    <row r="459" spans="4:4">
      <c r="D459"/>
    </row>
    <row r="460" spans="4:4">
      <c r="D460"/>
    </row>
    <row r="461" spans="4:4">
      <c r="D461"/>
    </row>
    <row r="462" spans="4:4">
      <c r="D462"/>
    </row>
    <row r="463" spans="4:4">
      <c r="D463"/>
    </row>
    <row r="464" spans="4:4">
      <c r="D464"/>
    </row>
    <row r="465" spans="4:4">
      <c r="D465"/>
    </row>
    <row r="466" spans="4:4">
      <c r="D466"/>
    </row>
    <row r="467" spans="4:4">
      <c r="D467"/>
    </row>
    <row r="468" spans="4:4">
      <c r="D468"/>
    </row>
    <row r="469" spans="4:4">
      <c r="D469"/>
    </row>
    <row r="470" spans="4:4">
      <c r="D470"/>
    </row>
    <row r="471" spans="4:4">
      <c r="D471"/>
    </row>
    <row r="472" spans="4:4">
      <c r="D472"/>
    </row>
    <row r="473" spans="4:4">
      <c r="D473"/>
    </row>
    <row r="474" spans="4:4">
      <c r="D474"/>
    </row>
    <row r="475" spans="4:4">
      <c r="D475"/>
    </row>
    <row r="476" spans="4:4">
      <c r="D476"/>
    </row>
    <row r="477" spans="4:4">
      <c r="D477"/>
    </row>
    <row r="478" spans="4:4">
      <c r="D478"/>
    </row>
    <row r="479" spans="4:4">
      <c r="D479"/>
    </row>
    <row r="480" spans="4:4">
      <c r="D480"/>
    </row>
    <row r="481" spans="4:4">
      <c r="D481"/>
    </row>
    <row r="482" spans="4:4">
      <c r="D482"/>
    </row>
    <row r="483" spans="4:4">
      <c r="D483"/>
    </row>
    <row r="484" spans="4:4">
      <c r="D484"/>
    </row>
    <row r="485" spans="4:4">
      <c r="D485"/>
    </row>
    <row r="486" spans="4:4">
      <c r="D486"/>
    </row>
    <row r="487" spans="4:4">
      <c r="D487"/>
    </row>
    <row r="488" spans="4:4">
      <c r="D488"/>
    </row>
    <row r="489" spans="4:4">
      <c r="D489"/>
    </row>
    <row r="490" spans="4:4">
      <c r="D490"/>
    </row>
    <row r="491" spans="4:4">
      <c r="D491"/>
    </row>
    <row r="492" spans="4:4">
      <c r="D492"/>
    </row>
    <row r="493" spans="4:4">
      <c r="D493"/>
    </row>
    <row r="494" spans="4:4">
      <c r="D494"/>
    </row>
    <row r="495" spans="4:4">
      <c r="D495"/>
    </row>
    <row r="496" spans="4:4">
      <c r="D496"/>
    </row>
    <row r="497" spans="4:4">
      <c r="D497"/>
    </row>
    <row r="498" spans="4:4">
      <c r="D498"/>
    </row>
    <row r="499" spans="4:4">
      <c r="D499"/>
    </row>
    <row r="500" spans="4:4">
      <c r="D500"/>
    </row>
    <row r="501" spans="4:4">
      <c r="D501"/>
    </row>
    <row r="502" spans="4:4">
      <c r="D502"/>
    </row>
    <row r="503" spans="4:4">
      <c r="D503"/>
    </row>
    <row r="504" spans="4:4">
      <c r="D504"/>
    </row>
    <row r="505" spans="4:4">
      <c r="D505"/>
    </row>
    <row r="506" spans="4:4">
      <c r="D506"/>
    </row>
    <row r="507" spans="4:4">
      <c r="D507"/>
    </row>
    <row r="508" spans="4:4">
      <c r="D508"/>
    </row>
    <row r="509" spans="4:4">
      <c r="D509"/>
    </row>
    <row r="510" spans="4:4">
      <c r="D510"/>
    </row>
    <row r="511" spans="4:4">
      <c r="D511"/>
    </row>
    <row r="512" spans="4:4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  <row r="542" spans="4:4">
      <c r="D542"/>
    </row>
    <row r="543" spans="4:4">
      <c r="D543"/>
    </row>
    <row r="544" spans="4:4">
      <c r="D544"/>
    </row>
    <row r="545" spans="4:4">
      <c r="D545"/>
    </row>
    <row r="546" spans="4:4">
      <c r="D546"/>
    </row>
    <row r="547" spans="4:4">
      <c r="D547"/>
    </row>
    <row r="548" spans="4:4">
      <c r="D548"/>
    </row>
    <row r="549" spans="4:4">
      <c r="D549"/>
    </row>
    <row r="550" spans="4:4">
      <c r="D550"/>
    </row>
    <row r="551" spans="4:4">
      <c r="D551"/>
    </row>
    <row r="552" spans="4:4">
      <c r="D552"/>
    </row>
    <row r="553" spans="4:4">
      <c r="D553"/>
    </row>
    <row r="554" spans="4:4">
      <c r="D554"/>
    </row>
    <row r="555" spans="4:4">
      <c r="D555"/>
    </row>
    <row r="556" spans="4:4">
      <c r="D556"/>
    </row>
    <row r="557" spans="4:4">
      <c r="D557"/>
    </row>
    <row r="558" spans="4:4">
      <c r="D558"/>
    </row>
    <row r="559" spans="4:4">
      <c r="D559"/>
    </row>
    <row r="560" spans="4:4">
      <c r="D560"/>
    </row>
    <row r="561" spans="4:4">
      <c r="D561"/>
    </row>
    <row r="562" spans="4:4">
      <c r="D562"/>
    </row>
    <row r="563" spans="4:4">
      <c r="D563"/>
    </row>
    <row r="564" spans="4:4">
      <c r="D564"/>
    </row>
    <row r="565" spans="4:4">
      <c r="D565"/>
    </row>
    <row r="566" spans="4:4">
      <c r="D566"/>
    </row>
    <row r="567" spans="4:4">
      <c r="D567"/>
    </row>
    <row r="568" spans="4:4">
      <c r="D568"/>
    </row>
    <row r="569" spans="4:4">
      <c r="D569"/>
    </row>
    <row r="570" spans="4:4">
      <c r="D570"/>
    </row>
    <row r="571" spans="4:4">
      <c r="D571"/>
    </row>
    <row r="572" spans="4:4">
      <c r="D572"/>
    </row>
    <row r="573" spans="4:4">
      <c r="D573"/>
    </row>
    <row r="574" spans="4:4">
      <c r="D574"/>
    </row>
    <row r="575" spans="4:4">
      <c r="D575"/>
    </row>
    <row r="576" spans="4:4">
      <c r="D576"/>
    </row>
    <row r="577" spans="4:4">
      <c r="D577"/>
    </row>
    <row r="578" spans="4:4">
      <c r="D578"/>
    </row>
    <row r="579" spans="4:4">
      <c r="D579"/>
    </row>
  </sheetData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E267"/>
  <sheetViews>
    <sheetView showGridLines="0" showRowColHeaders="0" tabSelected="1" zoomScale="180" zoomScaleNormal="180" workbookViewId="0">
      <selection activeCell="I3" sqref="I3"/>
    </sheetView>
  </sheetViews>
  <sheetFormatPr defaultColWidth="0" defaultRowHeight="15"/>
  <cols>
    <col min="1" max="1" width="27.5703125" style="4" customWidth="1"/>
    <col min="2" max="2" width="14.5703125" customWidth="1"/>
    <col min="3" max="11" width="9.140625" customWidth="1"/>
    <col min="12" max="12" width="6.5703125" customWidth="1"/>
    <col min="13" max="16" width="9.140625" customWidth="1"/>
    <col min="32" max="16384" width="9.140625" hidden="1"/>
  </cols>
  <sheetData>
    <row r="2" spans="1:31" ht="20.25" thickBot="1">
      <c r="B2" s="27" t="s">
        <v>316</v>
      </c>
      <c r="C2" s="21"/>
      <c r="D2" s="21"/>
      <c r="E2" s="21"/>
      <c r="F2" s="21"/>
      <c r="G2" s="21"/>
      <c r="H2" s="24"/>
      <c r="I2" s="24"/>
      <c r="J2" s="24"/>
      <c r="K2" s="24"/>
      <c r="L2" s="24"/>
      <c r="M2" s="24"/>
    </row>
    <row r="3" spans="1:31" ht="15.75" thickTop="1">
      <c r="B3" s="26" t="s">
        <v>324</v>
      </c>
      <c r="I3" s="30"/>
    </row>
    <row r="4" spans="1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</row>
    <row r="5" spans="1:31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</row>
    <row r="6" spans="1:3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5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</row>
    <row r="7" spans="1:31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pans="1:31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spans="1:31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spans="1:31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spans="1:31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spans="1:31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spans="1:31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 spans="1:31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spans="1:31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31">
      <c r="A16" s="22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</row>
    <row r="17" spans="1:31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</row>
    <row r="18" spans="1:31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spans="1:31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spans="1:31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>
      <c r="A21" s="2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spans="1:31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 spans="1:31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spans="1:31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spans="1:31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 spans="1:31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spans="1:31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spans="1:31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spans="1:3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spans="1:31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</row>
    <row r="33" spans="2:31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spans="2:31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 spans="2:31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</row>
    <row r="36" spans="2:31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</row>
    <row r="37" spans="2:31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spans="2:31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spans="2:31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spans="2:31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</row>
    <row r="41" spans="2:31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 spans="2:31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spans="2:31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 spans="2:31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</row>
    <row r="45" spans="2:31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</row>
    <row r="46" spans="2:31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</row>
    <row r="47" spans="2:31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</row>
    <row r="48" spans="2:31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</row>
    <row r="49" spans="2:31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</row>
    <row r="50" spans="2:31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</row>
    <row r="51" spans="2:31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</row>
    <row r="52" spans="2:31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</row>
    <row r="53" spans="2:31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</row>
    <row r="54" spans="2:31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</row>
    <row r="55" spans="2:31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</row>
    <row r="56" spans="2:31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</row>
    <row r="57" spans="2:31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</row>
    <row r="58" spans="2:31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</row>
    <row r="59" spans="2:31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</row>
    <row r="60" spans="2:31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</row>
    <row r="61" spans="2:31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</row>
    <row r="62" spans="2:31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</row>
    <row r="63" spans="2:31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</row>
    <row r="64" spans="2:31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</row>
    <row r="65" spans="2:31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 spans="2:31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</row>
    <row r="67" spans="2:31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</row>
    <row r="68" spans="2:31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 spans="2:31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</row>
    <row r="70" spans="2:31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</row>
    <row r="71" spans="2:31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</row>
    <row r="72" spans="2:31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</row>
    <row r="73" spans="2:31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</row>
    <row r="74" spans="2:31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 spans="2:31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spans="2:31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spans="2:31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 spans="2:31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 spans="2:31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 spans="2:31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</row>
    <row r="82" spans="2:31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</row>
    <row r="83" spans="2:31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</row>
    <row r="85" spans="2:31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spans="2:31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</row>
    <row r="87" spans="2:31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</row>
    <row r="88" spans="2:31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</row>
    <row r="89" spans="2:31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</row>
    <row r="90" spans="2:31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</row>
    <row r="91" spans="2:31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</row>
    <row r="92" spans="2:31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</row>
    <row r="93" spans="2:31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</row>
    <row r="94" spans="2:31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</row>
    <row r="95" spans="2:31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</row>
    <row r="96" spans="2:31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</row>
    <row r="97" spans="2:31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</row>
    <row r="98" spans="2:31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</row>
    <row r="99" spans="2:31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</row>
    <row r="100" spans="2:31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</row>
    <row r="101" spans="2:31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</row>
    <row r="102" spans="2:31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</row>
    <row r="103" spans="2:31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 spans="2:31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</row>
    <row r="105" spans="2:31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</row>
    <row r="106" spans="2:31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</row>
    <row r="107" spans="2:31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</row>
    <row r="108" spans="2:31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</row>
    <row r="109" spans="2:31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</row>
    <row r="110" spans="2:31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</row>
    <row r="111" spans="2:31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</row>
    <row r="112" spans="2:31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</row>
    <row r="113" spans="2:31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</row>
    <row r="114" spans="2:31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</row>
    <row r="115" spans="2:31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 spans="2:31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</row>
    <row r="117" spans="2:31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 spans="2:31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 spans="2:31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  <row r="120" spans="2:31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</row>
    <row r="121" spans="2:31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</row>
    <row r="122" spans="2:31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</row>
    <row r="123" spans="2:31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</row>
    <row r="124" spans="2:31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</row>
    <row r="125" spans="2:31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</row>
    <row r="126" spans="2:31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</row>
    <row r="127" spans="2:31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 spans="2:31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</row>
    <row r="129" spans="2:31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 spans="2:31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</row>
    <row r="131" spans="2:31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pans="2:31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pans="2:31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2:31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spans="2:31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spans="2:31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spans="2:31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spans="2:31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spans="2:31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spans="2:31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 spans="2:31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 spans="2:31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</row>
    <row r="143" spans="2:31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 spans="2:31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 spans="2:31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spans="2:31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spans="2:31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 spans="2:31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 spans="2:31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 spans="2:31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 spans="2:31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 spans="2:31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 spans="2:31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spans="2:31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 spans="2:31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spans="2:31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spans="2:31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spans="2:31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 spans="2:31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 spans="2:31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 spans="2:31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 spans="2:31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 spans="2:31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 spans="2:31"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</row>
    <row r="165" spans="2:31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</row>
    <row r="166" spans="2:31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</row>
    <row r="167" spans="2:31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</row>
    <row r="168" spans="2:31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</row>
    <row r="169" spans="2:31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 spans="2:31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</row>
    <row r="171" spans="2:31"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 spans="2:31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 spans="2:31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2:31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pans="2:31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2:31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2:31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2:31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31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31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1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spans="2:31"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</row>
    <row r="219" spans="2:31"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</row>
    <row r="220" spans="2:31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</row>
    <row r="221" spans="2:31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</row>
    <row r="222" spans="2:31"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</row>
    <row r="223" spans="2:31"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</row>
    <row r="224" spans="2:31"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</row>
    <row r="225" spans="2:31"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</row>
    <row r="226" spans="2:31"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</row>
    <row r="227" spans="2:31"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</row>
    <row r="228" spans="2:31"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</row>
    <row r="229" spans="2:31"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</row>
    <row r="230" spans="2:31"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</row>
    <row r="231" spans="2:31"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</row>
    <row r="232" spans="2:31"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</row>
    <row r="233" spans="2:31"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</row>
    <row r="234" spans="2:31"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</row>
    <row r="235" spans="2:31"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</row>
    <row r="236" spans="2:31"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</row>
    <row r="237" spans="2:31"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</row>
    <row r="238" spans="2:31"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</row>
    <row r="239" spans="2:31"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</row>
    <row r="240" spans="2:31"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</row>
    <row r="241" spans="2:31"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</row>
    <row r="242" spans="2:31"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</row>
    <row r="243" spans="2:31"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</row>
    <row r="244" spans="2:31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</row>
    <row r="245" spans="2:31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</row>
    <row r="246" spans="2:31"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</row>
    <row r="247" spans="2:31"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</row>
    <row r="248" spans="2:31"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</row>
    <row r="249" spans="2:31"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</row>
    <row r="250" spans="2:31"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</row>
    <row r="251" spans="2:31"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</row>
    <row r="252" spans="2:31"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</row>
    <row r="253" spans="2:31"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</row>
    <row r="254" spans="2:31"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</row>
    <row r="255" spans="2:31"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</row>
    <row r="256" spans="2:31"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</row>
    <row r="257" spans="2:31"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</row>
    <row r="258" spans="2:31"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</row>
    <row r="259" spans="2:31"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</row>
    <row r="260" spans="2:31"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</row>
    <row r="261" spans="2:31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</row>
    <row r="262" spans="2:31"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</row>
    <row r="263" spans="2:31"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</row>
    <row r="264" spans="2:31"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</row>
    <row r="265" spans="2:31"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</row>
    <row r="266" spans="2:31"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</row>
    <row r="267" spans="2:31"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A̳ssets</vt:lpstr>
      <vt:lpstr>B̳ases</vt:lpstr>
      <vt:lpstr>C̳álculos</vt:lpstr>
      <vt:lpstr>D̳ashboard</vt:lpstr>
      <vt:lpstr>tbn_annual_total</vt:lpstr>
      <vt:lpstr>tbn_EApass</vt:lpstr>
      <vt:lpstr>tbn_EApass_total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diego hashimoto</cp:lastModifiedBy>
  <dcterms:created xsi:type="dcterms:W3CDTF">2024-12-19T13:13:10Z</dcterms:created>
  <dcterms:modified xsi:type="dcterms:W3CDTF">2025-11-18T18:10:13Z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